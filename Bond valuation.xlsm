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F:\jobs\projects\"/>
    </mc:Choice>
  </mc:AlternateContent>
  <xr:revisionPtr revIDLastSave="0" documentId="13_ncr:1_{F2B12511-344B-4FDE-8218-33009D4D053B}" xr6:coauthVersionLast="47" xr6:coauthVersionMax="47" xr10:uidLastSave="{00000000-0000-0000-0000-000000000000}"/>
  <bookViews>
    <workbookView xWindow="-108" yWindow="-108" windowWidth="23256" windowHeight="12456" xr2:uid="{00000000-000D-0000-FFFF-FFFF00000000}"/>
  </bookViews>
  <sheets>
    <sheet name="Part 1" sheetId="24" r:id="rId1"/>
    <sheet name="Sheet1" sheetId="33" state="hidden" r:id="rId2"/>
    <sheet name="AAPL DATA" sheetId="25" state="hidden" r:id="rId3"/>
    <sheet name="MSFT DATA" sheetId="26" state="hidden" r:id="rId4"/>
    <sheet name="AMZN DATA" sheetId="27" state="hidden" r:id="rId5"/>
    <sheet name="NVDA DATA" sheetId="28" state="hidden" r:id="rId6"/>
    <sheet name="GOOGL DATA" sheetId="29" state="hidden" r:id="rId7"/>
    <sheet name="MSFT Valuation" sheetId="35" r:id="rId8"/>
    <sheet name="AAPL Valuation" sheetId="36" r:id="rId9"/>
    <sheet name="Part 2a Portfolio" sheetId="32" r:id="rId10"/>
    <sheet name="Part 2b" sheetId="30" state="hidden" r:id="rId11"/>
  </sheets>
  <functionGroups builtInGroupCount="19"/>
  <definedNames>
    <definedName name="solver_adj" localSheetId="10" hidden="1">'Part 2b'!$I$108:$I$112</definedName>
    <definedName name="solver_cvg" localSheetId="10" hidden="1">0.0001</definedName>
    <definedName name="solver_drv" localSheetId="10" hidden="1">1</definedName>
    <definedName name="solver_eng" localSheetId="10" hidden="1">1</definedName>
    <definedName name="solver_itr" localSheetId="10" hidden="1">2147483647</definedName>
    <definedName name="solver_lhs1" localSheetId="10" hidden="1">'Part 2b'!$I$108:$I$112</definedName>
    <definedName name="solver_lhs2" localSheetId="10" hidden="1">'Part 2b'!$I$113</definedName>
    <definedName name="solver_lin" localSheetId="10" hidden="1">2</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1</definedName>
    <definedName name="solver_nod" localSheetId="10" hidden="1">2147483647</definedName>
    <definedName name="solver_num" localSheetId="10" hidden="1">2</definedName>
    <definedName name="solver_opt" localSheetId="10" hidden="1">'Part 2b'!$I$117</definedName>
    <definedName name="solver_pre" localSheetId="10" hidden="1">0.000001</definedName>
    <definedName name="solver_rbv" localSheetId="10" hidden="1">1</definedName>
    <definedName name="solver_rel1" localSheetId="10" hidden="1">3</definedName>
    <definedName name="solver_rel2" localSheetId="10" hidden="1">2</definedName>
    <definedName name="solver_rhs1" localSheetId="10" hidden="1">0</definedName>
    <definedName name="solver_rhs2" localSheetId="10" hidden="1">1</definedName>
    <definedName name="solver_rlx" localSheetId="10" hidden="1">1</definedName>
    <definedName name="solver_rsd" localSheetId="10" hidden="1">0</definedName>
    <definedName name="solver_scl" localSheetId="10" hidden="1">2</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1</definedName>
    <definedName name="solver_val" localSheetId="10" hidden="1">0</definedName>
    <definedName name="solver_ver" localSheetId="10" hidden="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24" l="1"/>
  <c r="D34" i="35" a="1"/>
  <c r="D34" i="35" s="1"/>
  <c r="D34" i="36" a="1"/>
  <c r="D34" i="36" s="1"/>
  <c r="D35" i="36" s="1"/>
  <c r="P8" i="36"/>
  <c r="P9" i="36"/>
  <c r="P10" i="36"/>
  <c r="P11" i="36"/>
  <c r="P7" i="36"/>
  <c r="Q8" i="35"/>
  <c r="Q9" i="35"/>
  <c r="Q10" i="35"/>
  <c r="Q11" i="35"/>
  <c r="Q7" i="35"/>
  <c r="P8" i="35"/>
  <c r="P9" i="35"/>
  <c r="P10" i="35"/>
  <c r="P11" i="35"/>
  <c r="P7" i="35"/>
  <c r="P14" i="35"/>
  <c r="P15" i="35"/>
  <c r="P16" i="35"/>
  <c r="P17" i="35"/>
  <c r="P13" i="35"/>
  <c r="Q20" i="35"/>
  <c r="Q21" i="35"/>
  <c r="Q22" i="35"/>
  <c r="Q23" i="35"/>
  <c r="Q19" i="35"/>
  <c r="P20" i="35"/>
  <c r="P21" i="35"/>
  <c r="P22" i="35"/>
  <c r="P23" i="35"/>
  <c r="P19" i="35"/>
  <c r="N20" i="35"/>
  <c r="N21" i="35"/>
  <c r="N22" i="35"/>
  <c r="N23" i="35"/>
  <c r="N19" i="35"/>
  <c r="M20" i="35"/>
  <c r="M21" i="35"/>
  <c r="M22" i="35"/>
  <c r="M23" i="35"/>
  <c r="M19" i="35"/>
  <c r="K20" i="35"/>
  <c r="K21" i="35"/>
  <c r="K22" i="35"/>
  <c r="K23" i="35"/>
  <c r="K19" i="35"/>
  <c r="J20" i="35"/>
  <c r="J21" i="35"/>
  <c r="J22" i="35"/>
  <c r="J23" i="35"/>
  <c r="J19" i="35"/>
  <c r="H20" i="35"/>
  <c r="H21" i="35"/>
  <c r="H22" i="35"/>
  <c r="H23" i="35"/>
  <c r="H19" i="35"/>
  <c r="G20" i="35"/>
  <c r="G21" i="35"/>
  <c r="G22" i="35"/>
  <c r="G23" i="35"/>
  <c r="G19" i="35"/>
  <c r="E20" i="35"/>
  <c r="E21" i="35"/>
  <c r="E22" i="35"/>
  <c r="E23" i="35"/>
  <c r="E19" i="35"/>
  <c r="D20" i="35"/>
  <c r="D21" i="35"/>
  <c r="D22" i="35"/>
  <c r="D23" i="35"/>
  <c r="D19" i="35"/>
  <c r="K24" i="35"/>
  <c r="M24" i="35"/>
  <c r="N24" i="35"/>
  <c r="P24" i="35"/>
  <c r="Q24" i="35"/>
  <c r="J24" i="35"/>
  <c r="H24" i="35"/>
  <c r="G24" i="35"/>
  <c r="E24" i="35"/>
  <c r="D24" i="35"/>
  <c r="D28" i="35" s="1"/>
  <c r="I113" i="30"/>
  <c r="I115" i="30" a="1"/>
  <c r="I115" i="30" s="1"/>
  <c r="I116" i="30" a="1"/>
  <c r="I116" i="30" s="1"/>
  <c r="H116" i="30" a="1"/>
  <c r="H116" i="30" s="1"/>
  <c r="H115" i="30" a="1"/>
  <c r="H115" i="30" s="1"/>
  <c r="H113" i="30"/>
  <c r="J46" i="30" a="1"/>
  <c r="J46" i="30" s="1"/>
  <c r="J45" i="30"/>
  <c r="D27" i="35" l="1"/>
  <c r="D30" i="35" s="1"/>
  <c r="D33" i="35" s="1"/>
  <c r="I117" i="30"/>
  <c r="H117" i="30"/>
  <c r="B76" i="32" l="1"/>
  <c r="B75" i="32"/>
  <c r="B74" i="32"/>
  <c r="B72" i="32"/>
  <c r="C71" i="32"/>
  <c r="B71" i="32"/>
  <c r="C70" i="32"/>
  <c r="B70" i="32"/>
  <c r="C69" i="32"/>
  <c r="B69" i="32"/>
  <c r="B2" i="32"/>
  <c r="F7" i="32"/>
  <c r="F8" i="32"/>
  <c r="F9" i="32"/>
  <c r="F10" i="32"/>
  <c r="F11" i="32"/>
  <c r="F12" i="32"/>
  <c r="F13" i="32"/>
  <c r="F14" i="32"/>
  <c r="F15" i="32"/>
  <c r="F16" i="32"/>
  <c r="F17" i="32"/>
  <c r="F18" i="32"/>
  <c r="F19" i="32"/>
  <c r="F20" i="32"/>
  <c r="F21" i="32"/>
  <c r="F22" i="32"/>
  <c r="F23" i="32"/>
  <c r="F24" i="32"/>
  <c r="F25" i="32"/>
  <c r="F26" i="32"/>
  <c r="F27" i="32"/>
  <c r="F28" i="32"/>
  <c r="F29" i="32"/>
  <c r="F30" i="32"/>
  <c r="F31" i="32"/>
  <c r="F32" i="32"/>
  <c r="F33" i="32"/>
  <c r="F34" i="32"/>
  <c r="F35" i="32"/>
  <c r="F36" i="32"/>
  <c r="F37" i="32"/>
  <c r="F38" i="32"/>
  <c r="F39" i="32"/>
  <c r="F40" i="32"/>
  <c r="F41" i="32"/>
  <c r="F42" i="32"/>
  <c r="F43" i="32"/>
  <c r="F44" i="32"/>
  <c r="F45" i="32"/>
  <c r="F46" i="32"/>
  <c r="F47" i="32"/>
  <c r="F48" i="32"/>
  <c r="F49" i="32"/>
  <c r="F50" i="32"/>
  <c r="F51" i="32"/>
  <c r="F52" i="32"/>
  <c r="F53" i="32"/>
  <c r="F54" i="32"/>
  <c r="F55" i="32"/>
  <c r="F56" i="32"/>
  <c r="F57" i="32"/>
  <c r="F58" i="32"/>
  <c r="F59" i="32"/>
  <c r="F60" i="32"/>
  <c r="F61" i="32"/>
  <c r="F62" i="32"/>
  <c r="F63" i="32"/>
  <c r="F64" i="32"/>
  <c r="F65" i="32"/>
  <c r="C7" i="32"/>
  <c r="G7" i="32" s="1"/>
  <c r="C8" i="32"/>
  <c r="G8" i="32" s="1"/>
  <c r="C9" i="32"/>
  <c r="G9" i="32" s="1"/>
  <c r="C10" i="32"/>
  <c r="G10" i="32" s="1"/>
  <c r="C11" i="32"/>
  <c r="G11" i="32" s="1"/>
  <c r="C12" i="32"/>
  <c r="G12" i="32" s="1"/>
  <c r="C13" i="32"/>
  <c r="G13" i="32" s="1"/>
  <c r="C14" i="32"/>
  <c r="G14" i="32" s="1"/>
  <c r="C15" i="32"/>
  <c r="G15" i="32" s="1"/>
  <c r="C16" i="32"/>
  <c r="G16" i="32" s="1"/>
  <c r="C17" i="32"/>
  <c r="G17" i="32" s="1"/>
  <c r="C18" i="32"/>
  <c r="G18" i="32" s="1"/>
  <c r="C19" i="32"/>
  <c r="G19" i="32" s="1"/>
  <c r="C20" i="32"/>
  <c r="G20" i="32" s="1"/>
  <c r="C21" i="32"/>
  <c r="G21" i="32" s="1"/>
  <c r="C22" i="32"/>
  <c r="G22" i="32" s="1"/>
  <c r="C23" i="32"/>
  <c r="G23" i="32" s="1"/>
  <c r="C24" i="32"/>
  <c r="G24" i="32" s="1"/>
  <c r="C25" i="32"/>
  <c r="G25" i="32" s="1"/>
  <c r="C26" i="32"/>
  <c r="G26" i="32" s="1"/>
  <c r="C27" i="32"/>
  <c r="G27" i="32" s="1"/>
  <c r="C28" i="32"/>
  <c r="G28" i="32" s="1"/>
  <c r="C29" i="32"/>
  <c r="G29" i="32" s="1"/>
  <c r="C30" i="32"/>
  <c r="G30" i="32" s="1"/>
  <c r="C31" i="32"/>
  <c r="G31" i="32" s="1"/>
  <c r="C32" i="32"/>
  <c r="G32" i="32" s="1"/>
  <c r="C33" i="32"/>
  <c r="G33" i="32" s="1"/>
  <c r="C34" i="32"/>
  <c r="G34" i="32" s="1"/>
  <c r="C35" i="32"/>
  <c r="G35" i="32" s="1"/>
  <c r="C36" i="32"/>
  <c r="G36" i="32" s="1"/>
  <c r="C37" i="32"/>
  <c r="G37" i="32" s="1"/>
  <c r="C38" i="32"/>
  <c r="G38" i="32" s="1"/>
  <c r="C39" i="32"/>
  <c r="G39" i="32" s="1"/>
  <c r="C40" i="32"/>
  <c r="G40" i="32" s="1"/>
  <c r="C41" i="32"/>
  <c r="G41" i="32" s="1"/>
  <c r="C42" i="32"/>
  <c r="G42" i="32" s="1"/>
  <c r="C43" i="32"/>
  <c r="G43" i="32" s="1"/>
  <c r="C44" i="32"/>
  <c r="G44" i="32" s="1"/>
  <c r="C45" i="32"/>
  <c r="G45" i="32" s="1"/>
  <c r="C46" i="32"/>
  <c r="G46" i="32" s="1"/>
  <c r="C47" i="32"/>
  <c r="G47" i="32" s="1"/>
  <c r="C48" i="32"/>
  <c r="G48" i="32" s="1"/>
  <c r="C49" i="32"/>
  <c r="G49" i="32" s="1"/>
  <c r="C50" i="32"/>
  <c r="G50" i="32" s="1"/>
  <c r="C51" i="32"/>
  <c r="G51" i="32" s="1"/>
  <c r="C52" i="32"/>
  <c r="G52" i="32" s="1"/>
  <c r="C53" i="32"/>
  <c r="G53" i="32" s="1"/>
  <c r="C54" i="32"/>
  <c r="G54" i="32" s="1"/>
  <c r="C55" i="32"/>
  <c r="G55" i="32" s="1"/>
  <c r="C56" i="32"/>
  <c r="G56" i="32" s="1"/>
  <c r="C57" i="32"/>
  <c r="G57" i="32" s="1"/>
  <c r="C58" i="32"/>
  <c r="G58" i="32" s="1"/>
  <c r="C59" i="32"/>
  <c r="G59" i="32" s="1"/>
  <c r="C60" i="32"/>
  <c r="G60" i="32" s="1"/>
  <c r="C61" i="32"/>
  <c r="G61" i="32" s="1"/>
  <c r="C62" i="32"/>
  <c r="G62" i="32" s="1"/>
  <c r="C63" i="32"/>
  <c r="G63" i="32" s="1"/>
  <c r="C64" i="32"/>
  <c r="G64" i="32" s="1"/>
  <c r="C65" i="32"/>
  <c r="G65" i="32" s="1"/>
  <c r="B44" i="24"/>
  <c r="B28" i="24"/>
  <c r="B11" i="24"/>
  <c r="B4" i="30"/>
  <c r="C4" i="30"/>
  <c r="D4" i="30"/>
  <c r="E4" i="30"/>
  <c r="F4" i="30"/>
  <c r="B5" i="30"/>
  <c r="C5" i="30"/>
  <c r="D5" i="30"/>
  <c r="E5" i="30"/>
  <c r="F5" i="30"/>
  <c r="B6" i="30"/>
  <c r="C6" i="30"/>
  <c r="D6" i="30"/>
  <c r="E6" i="30"/>
  <c r="F6" i="30"/>
  <c r="B7" i="30"/>
  <c r="C7" i="30"/>
  <c r="D7" i="30"/>
  <c r="E7" i="30"/>
  <c r="F7" i="30"/>
  <c r="B8" i="30"/>
  <c r="C8" i="30"/>
  <c r="D8" i="30"/>
  <c r="E8" i="30"/>
  <c r="F8" i="30"/>
  <c r="B9" i="30"/>
  <c r="C9" i="30"/>
  <c r="D9" i="30"/>
  <c r="E9" i="30"/>
  <c r="F9" i="30"/>
  <c r="B10" i="30"/>
  <c r="C10" i="30"/>
  <c r="D10" i="30"/>
  <c r="E10" i="30"/>
  <c r="F10" i="30"/>
  <c r="B11" i="30"/>
  <c r="C11" i="30"/>
  <c r="D11" i="30"/>
  <c r="E11" i="30"/>
  <c r="F11" i="30"/>
  <c r="B12" i="30"/>
  <c r="C12" i="30"/>
  <c r="D12" i="30"/>
  <c r="E12" i="30"/>
  <c r="F12" i="30"/>
  <c r="B13" i="30"/>
  <c r="C13" i="30"/>
  <c r="D13" i="30"/>
  <c r="E13" i="30"/>
  <c r="F13" i="30"/>
  <c r="B14" i="30"/>
  <c r="C14" i="30"/>
  <c r="D14" i="30"/>
  <c r="E14" i="30"/>
  <c r="F14" i="30"/>
  <c r="B15" i="30"/>
  <c r="C15" i="30"/>
  <c r="D15" i="30"/>
  <c r="E15" i="30"/>
  <c r="F15" i="30"/>
  <c r="B16" i="30"/>
  <c r="C16" i="30"/>
  <c r="D16" i="30"/>
  <c r="E16" i="30"/>
  <c r="F16" i="30"/>
  <c r="B17" i="30"/>
  <c r="C17" i="30"/>
  <c r="D17" i="30"/>
  <c r="E17" i="30"/>
  <c r="F17" i="30"/>
  <c r="B18" i="30"/>
  <c r="C18" i="30"/>
  <c r="D18" i="30"/>
  <c r="E18" i="30"/>
  <c r="F18" i="30"/>
  <c r="B19" i="30"/>
  <c r="C19" i="30"/>
  <c r="D19" i="30"/>
  <c r="E19" i="30"/>
  <c r="F19" i="30"/>
  <c r="B20" i="30"/>
  <c r="C20" i="30"/>
  <c r="D20" i="30"/>
  <c r="E20" i="30"/>
  <c r="F20" i="30"/>
  <c r="B21" i="30"/>
  <c r="C21" i="30"/>
  <c r="D21" i="30"/>
  <c r="E21" i="30"/>
  <c r="F21" i="30"/>
  <c r="B22" i="30"/>
  <c r="C22" i="30"/>
  <c r="D22" i="30"/>
  <c r="E22" i="30"/>
  <c r="F22" i="30"/>
  <c r="B23" i="30"/>
  <c r="C23" i="30"/>
  <c r="D23" i="30"/>
  <c r="E23" i="30"/>
  <c r="F23" i="30"/>
  <c r="B24" i="30"/>
  <c r="C24" i="30"/>
  <c r="D24" i="30"/>
  <c r="E24" i="30"/>
  <c r="F24" i="30"/>
  <c r="B25" i="30"/>
  <c r="C25" i="30"/>
  <c r="D25" i="30"/>
  <c r="E25" i="30"/>
  <c r="F25" i="30"/>
  <c r="B26" i="30"/>
  <c r="C26" i="30"/>
  <c r="D26" i="30"/>
  <c r="E26" i="30"/>
  <c r="F26" i="30"/>
  <c r="B27" i="30"/>
  <c r="C27" i="30"/>
  <c r="D27" i="30"/>
  <c r="E27" i="30"/>
  <c r="F27" i="30"/>
  <c r="B28" i="30"/>
  <c r="C28" i="30"/>
  <c r="D28" i="30"/>
  <c r="E28" i="30"/>
  <c r="F28" i="30"/>
  <c r="B29" i="30"/>
  <c r="C29" i="30"/>
  <c r="D29" i="30"/>
  <c r="E29" i="30"/>
  <c r="F29" i="30"/>
  <c r="B30" i="30"/>
  <c r="C30" i="30"/>
  <c r="D30" i="30"/>
  <c r="E30" i="30"/>
  <c r="F30" i="30"/>
  <c r="B31" i="30"/>
  <c r="C31" i="30"/>
  <c r="D31" i="30"/>
  <c r="E31" i="30"/>
  <c r="F31" i="30"/>
  <c r="B32" i="30"/>
  <c r="C32" i="30"/>
  <c r="D32" i="30"/>
  <c r="E32" i="30"/>
  <c r="F32" i="30"/>
  <c r="B33" i="30"/>
  <c r="C33" i="30"/>
  <c r="D33" i="30"/>
  <c r="E33" i="30"/>
  <c r="F33" i="30"/>
  <c r="B34" i="30"/>
  <c r="C34" i="30"/>
  <c r="D34" i="30"/>
  <c r="E34" i="30"/>
  <c r="F34" i="30"/>
  <c r="B35" i="30"/>
  <c r="C35" i="30"/>
  <c r="D35" i="30"/>
  <c r="E35" i="30"/>
  <c r="F35" i="30"/>
  <c r="B36" i="30"/>
  <c r="C36" i="30"/>
  <c r="D36" i="30"/>
  <c r="E36" i="30"/>
  <c r="F36" i="30"/>
  <c r="B37" i="30"/>
  <c r="C37" i="30"/>
  <c r="D37" i="30"/>
  <c r="E37" i="30"/>
  <c r="F37" i="30"/>
  <c r="B38" i="30"/>
  <c r="C38" i="30"/>
  <c r="D38" i="30"/>
  <c r="E38" i="30"/>
  <c r="F38" i="30"/>
  <c r="B39" i="30"/>
  <c r="C39" i="30"/>
  <c r="D39" i="30"/>
  <c r="E39" i="30"/>
  <c r="F39" i="30"/>
  <c r="B40" i="30"/>
  <c r="C40" i="30"/>
  <c r="D40" i="30"/>
  <c r="E40" i="30"/>
  <c r="F40" i="30"/>
  <c r="B41" i="30"/>
  <c r="C41" i="30"/>
  <c r="D41" i="30"/>
  <c r="E41" i="30"/>
  <c r="F41" i="30"/>
  <c r="B42" i="30"/>
  <c r="C42" i="30"/>
  <c r="D42" i="30"/>
  <c r="E42" i="30"/>
  <c r="F42" i="30"/>
  <c r="B43" i="30"/>
  <c r="C43" i="30"/>
  <c r="D43" i="30"/>
  <c r="E43" i="30"/>
  <c r="F43" i="30"/>
  <c r="B44" i="30"/>
  <c r="C44" i="30"/>
  <c r="D44" i="30"/>
  <c r="E44" i="30"/>
  <c r="F44" i="30"/>
  <c r="B45" i="30"/>
  <c r="C45" i="30"/>
  <c r="D45" i="30"/>
  <c r="E45" i="30"/>
  <c r="F45" i="30"/>
  <c r="B46" i="30"/>
  <c r="C46" i="30"/>
  <c r="D46" i="30"/>
  <c r="E46" i="30"/>
  <c r="F46" i="30"/>
  <c r="B47" i="30"/>
  <c r="C47" i="30"/>
  <c r="D47" i="30"/>
  <c r="E47" i="30"/>
  <c r="F47" i="30"/>
  <c r="B48" i="30"/>
  <c r="C48" i="30"/>
  <c r="D48" i="30"/>
  <c r="E48" i="30"/>
  <c r="F48" i="30"/>
  <c r="B49" i="30"/>
  <c r="C49" i="30"/>
  <c r="D49" i="30"/>
  <c r="E49" i="30"/>
  <c r="F49" i="30"/>
  <c r="B50" i="30"/>
  <c r="C50" i="30"/>
  <c r="D50" i="30"/>
  <c r="E50" i="30"/>
  <c r="F50" i="30"/>
  <c r="B51" i="30"/>
  <c r="C51" i="30"/>
  <c r="D51" i="30"/>
  <c r="E51" i="30"/>
  <c r="F51" i="30"/>
  <c r="B52" i="30"/>
  <c r="C52" i="30"/>
  <c r="D52" i="30"/>
  <c r="E52" i="30"/>
  <c r="F52" i="30"/>
  <c r="B53" i="30"/>
  <c r="C53" i="30"/>
  <c r="D53" i="30"/>
  <c r="E53" i="30"/>
  <c r="F53" i="30"/>
  <c r="B54" i="30"/>
  <c r="C54" i="30"/>
  <c r="D54" i="30"/>
  <c r="E54" i="30"/>
  <c r="F54" i="30"/>
  <c r="B55" i="30"/>
  <c r="C55" i="30"/>
  <c r="D55" i="30"/>
  <c r="E55" i="30"/>
  <c r="F55" i="30"/>
  <c r="B56" i="30"/>
  <c r="C56" i="30"/>
  <c r="D56" i="30"/>
  <c r="E56" i="30"/>
  <c r="F56" i="30"/>
  <c r="B57" i="30"/>
  <c r="C57" i="30"/>
  <c r="D57" i="30"/>
  <c r="E57" i="30"/>
  <c r="F57" i="30"/>
  <c r="B58" i="30"/>
  <c r="C58" i="30"/>
  <c r="D58" i="30"/>
  <c r="E58" i="30"/>
  <c r="F58" i="30"/>
  <c r="B59" i="30"/>
  <c r="C59" i="30"/>
  <c r="D59" i="30"/>
  <c r="E59" i="30"/>
  <c r="F59" i="30"/>
  <c r="B60" i="30"/>
  <c r="C60" i="30"/>
  <c r="D60" i="30"/>
  <c r="E60" i="30"/>
  <c r="F60" i="30"/>
  <c r="B61" i="30"/>
  <c r="C61" i="30"/>
  <c r="D61" i="30"/>
  <c r="E61" i="30"/>
  <c r="F61" i="30"/>
  <c r="B62" i="30"/>
  <c r="C62" i="30"/>
  <c r="D62" i="30"/>
  <c r="E62" i="30"/>
  <c r="F62" i="30"/>
  <c r="F3" i="30"/>
  <c r="E3" i="30"/>
  <c r="D3" i="30"/>
  <c r="C3" i="30"/>
  <c r="B3" i="30"/>
  <c r="H42" i="30"/>
  <c r="H41" i="30"/>
  <c r="H40" i="30"/>
  <c r="H39" i="30"/>
  <c r="H38" i="30"/>
  <c r="M29" i="30"/>
  <c r="L29" i="30"/>
  <c r="K29" i="30"/>
  <c r="J29" i="30"/>
  <c r="I29" i="30"/>
  <c r="H23" i="30"/>
  <c r="H22" i="30"/>
  <c r="H21" i="30"/>
  <c r="H20" i="30"/>
  <c r="H15" i="30"/>
  <c r="H14" i="30"/>
  <c r="H13" i="30"/>
  <c r="H12" i="30"/>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C6" i="29"/>
  <c r="C5" i="29"/>
  <c r="C4" i="29"/>
  <c r="C3" i="29"/>
  <c r="F2" i="29"/>
  <c r="F6" i="29" s="1"/>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C5" i="28"/>
  <c r="C4" i="28"/>
  <c r="C3" i="28"/>
  <c r="F2" i="28"/>
  <c r="F6" i="28" s="1"/>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C4" i="27"/>
  <c r="C3" i="27"/>
  <c r="F2" i="27"/>
  <c r="F6" i="27" s="1"/>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4" i="26"/>
  <c r="C3" i="26"/>
  <c r="F2" i="26"/>
  <c r="F6" i="26" s="1"/>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C4" i="25"/>
  <c r="C3" i="25"/>
  <c r="F2" i="25"/>
  <c r="F6" i="25" s="1"/>
  <c r="C41" i="24"/>
  <c r="D41" i="24" s="1"/>
  <c r="C40" i="24"/>
  <c r="C25" i="24"/>
  <c r="C8" i="24"/>
  <c r="C24" i="24"/>
  <c r="D24" i="24" s="1"/>
  <c r="E24" i="24" s="1"/>
  <c r="F24" i="24" s="1"/>
  <c r="G24" i="24" s="1"/>
  <c r="V8" i="24"/>
  <c r="F8" i="24"/>
  <c r="G8" i="24"/>
  <c r="H8" i="24"/>
  <c r="I8" i="24"/>
  <c r="J8" i="24"/>
  <c r="K8" i="24"/>
  <c r="L8" i="24"/>
  <c r="M8" i="24"/>
  <c r="N8" i="24"/>
  <c r="O8" i="24"/>
  <c r="P8" i="24"/>
  <c r="Q8" i="24"/>
  <c r="R8" i="24"/>
  <c r="S8" i="24"/>
  <c r="T8" i="24"/>
  <c r="U8" i="24"/>
  <c r="C7" i="24"/>
  <c r="E8" i="24"/>
  <c r="D8" i="24"/>
  <c r="C14" i="24"/>
  <c r="C12" i="24"/>
  <c r="C13" i="24"/>
  <c r="C30" i="24"/>
  <c r="C31" i="24"/>
  <c r="C45" i="24"/>
  <c r="C29" i="24"/>
  <c r="H25" i="24"/>
  <c r="I6" i="30" l="1"/>
  <c r="I5" i="30"/>
  <c r="I4" i="30"/>
  <c r="D7" i="24"/>
  <c r="E7" i="24" s="1"/>
  <c r="F7" i="24" s="1"/>
  <c r="G7" i="24" s="1"/>
  <c r="G10" i="24" s="1"/>
  <c r="C10" i="24"/>
  <c r="B12" i="24"/>
  <c r="D40" i="24"/>
  <c r="C43" i="24"/>
  <c r="M19" i="30"/>
  <c r="L19" i="30"/>
  <c r="K19" i="30"/>
  <c r="J19" i="30"/>
  <c r="M11" i="30"/>
  <c r="I15" i="30" s="1"/>
  <c r="L11" i="30"/>
  <c r="I14" i="30" s="1"/>
  <c r="K11" i="30"/>
  <c r="I13" i="30" s="1"/>
  <c r="J11" i="30"/>
  <c r="I12" i="30" s="1"/>
  <c r="I19" i="30"/>
  <c r="I30" i="30" s="1"/>
  <c r="J6" i="30"/>
  <c r="J5" i="30"/>
  <c r="J20" i="30" s="1"/>
  <c r="J31" i="30" s="1"/>
  <c r="J4" i="30"/>
  <c r="J21" i="30"/>
  <c r="J13" i="30"/>
  <c r="K12" i="30" s="1"/>
  <c r="K6" i="30"/>
  <c r="K5" i="30"/>
  <c r="K21" i="30" s="1"/>
  <c r="K32" i="30" s="1"/>
  <c r="K4" i="30"/>
  <c r="K22" i="30"/>
  <c r="J22" i="30"/>
  <c r="K14" i="30"/>
  <c r="L13" i="30" s="1"/>
  <c r="J14" i="30"/>
  <c r="L12" i="30" s="1"/>
  <c r="L6" i="30"/>
  <c r="L5" i="30"/>
  <c r="L22" i="30" s="1"/>
  <c r="L33" i="30" s="1"/>
  <c r="L4" i="30"/>
  <c r="L23" i="30"/>
  <c r="K23" i="30"/>
  <c r="J23" i="30"/>
  <c r="L15" i="30"/>
  <c r="M14" i="30" s="1"/>
  <c r="K15" i="30"/>
  <c r="M13" i="30" s="1"/>
  <c r="J15" i="30"/>
  <c r="M12" i="30" s="1"/>
  <c r="M6" i="30"/>
  <c r="M5" i="30"/>
  <c r="M23" i="30" s="1"/>
  <c r="M34" i="30" s="1"/>
  <c r="M4" i="30"/>
  <c r="F4" i="29"/>
  <c r="F8" i="29" s="1"/>
  <c r="F3" i="29"/>
  <c r="F7" i="29" s="1"/>
  <c r="F4" i="28"/>
  <c r="F8" i="28" s="1"/>
  <c r="F3" i="28"/>
  <c r="F7" i="28" s="1"/>
  <c r="F4" i="27"/>
  <c r="F8" i="27" s="1"/>
  <c r="F3" i="27"/>
  <c r="F7" i="27" s="1"/>
  <c r="F4" i="26"/>
  <c r="F8" i="26" s="1"/>
  <c r="F3" i="26"/>
  <c r="F7" i="26" s="1"/>
  <c r="F4" i="25"/>
  <c r="F8" i="25" s="1"/>
  <c r="F3" i="25"/>
  <c r="F7" i="25" s="1"/>
  <c r="E10" i="24"/>
  <c r="F10" i="24"/>
  <c r="C27" i="24"/>
  <c r="D42" i="24"/>
  <c r="D10" i="24"/>
  <c r="C26" i="24"/>
  <c r="C42" i="24"/>
  <c r="G9" i="24"/>
  <c r="F9" i="24"/>
  <c r="E9" i="24"/>
  <c r="D9" i="24"/>
  <c r="E41" i="24"/>
  <c r="D25" i="24"/>
  <c r="D27" i="24" s="1"/>
  <c r="H7" i="24"/>
  <c r="E40" i="24" l="1"/>
  <c r="D43" i="24"/>
  <c r="O34" i="30"/>
  <c r="O23" i="30"/>
  <c r="J34" i="30"/>
  <c r="M20" i="30"/>
  <c r="M31" i="30" s="1"/>
  <c r="K34" i="30"/>
  <c r="M21" i="30"/>
  <c r="M32" i="30" s="1"/>
  <c r="L34" i="30"/>
  <c r="M22" i="30"/>
  <c r="M33" i="30" s="1"/>
  <c r="O33" i="30"/>
  <c r="O22" i="30"/>
  <c r="J33" i="30"/>
  <c r="L20" i="30"/>
  <c r="L31" i="30" s="1"/>
  <c r="K33" i="30"/>
  <c r="L21" i="30"/>
  <c r="L32" i="30" s="1"/>
  <c r="O32" i="30"/>
  <c r="O21" i="30"/>
  <c r="J32" i="30"/>
  <c r="K20" i="30"/>
  <c r="K31" i="30" s="1"/>
  <c r="O31" i="30"/>
  <c r="O20" i="30"/>
  <c r="O30" i="30"/>
  <c r="O19" i="30"/>
  <c r="J30" i="30"/>
  <c r="I20" i="30"/>
  <c r="I31" i="30" s="1"/>
  <c r="K30" i="30"/>
  <c r="I21" i="30"/>
  <c r="I32" i="30" s="1"/>
  <c r="L30" i="30"/>
  <c r="I22" i="30"/>
  <c r="I33" i="30" s="1"/>
  <c r="M30" i="30"/>
  <c r="I23" i="30"/>
  <c r="I34" i="30" s="1"/>
  <c r="I7" i="24"/>
  <c r="I10" i="24" s="1"/>
  <c r="H10" i="24"/>
  <c r="F41" i="24"/>
  <c r="E42" i="24"/>
  <c r="E25" i="24"/>
  <c r="E27" i="24" s="1"/>
  <c r="D26" i="24"/>
  <c r="J7" i="24"/>
  <c r="J10" i="24" s="1"/>
  <c r="I9" i="24"/>
  <c r="H9" i="24"/>
  <c r="J38" i="30" l="1" a="1"/>
  <c r="J38" i="30" s="1"/>
  <c r="K38" i="30" a="1"/>
  <c r="K38" i="30" s="1"/>
  <c r="K45" i="30" s="1"/>
  <c r="I38" i="30" a="1"/>
  <c r="I38" i="30" s="1"/>
  <c r="F40" i="24"/>
  <c r="E43" i="24"/>
  <c r="I50" i="30" a="1"/>
  <c r="I50" i="30" s="1"/>
  <c r="G41" i="24"/>
  <c r="F42" i="24"/>
  <c r="F25" i="24"/>
  <c r="F27" i="24" s="1"/>
  <c r="E26" i="24"/>
  <c r="K7" i="24"/>
  <c r="K10" i="24" s="1"/>
  <c r="J9" i="24"/>
  <c r="K43" i="30" l="1"/>
  <c r="I46" i="30" a="1"/>
  <c r="I46" i="30" s="1"/>
  <c r="I45" i="30"/>
  <c r="G40" i="24"/>
  <c r="F43" i="24"/>
  <c r="I57" i="30" a="1"/>
  <c r="I57" i="30" s="1"/>
  <c r="I58" i="30" s="1"/>
  <c r="I74" i="30" s="1"/>
  <c r="I56" i="30"/>
  <c r="J74" i="30" s="1"/>
  <c r="I43" i="30"/>
  <c r="I47" i="30" a="1"/>
  <c r="I47" i="30" s="1"/>
  <c r="J43" i="30"/>
  <c r="K46" i="30" a="1"/>
  <c r="K46" i="30" s="1"/>
  <c r="H41" i="24"/>
  <c r="G42" i="24"/>
  <c r="G25" i="24"/>
  <c r="F26" i="24"/>
  <c r="L7" i="24"/>
  <c r="L10" i="24" s="1"/>
  <c r="K9" i="24"/>
  <c r="J67" i="30" l="1"/>
  <c r="J68" i="30"/>
  <c r="I85" i="30" s="1"/>
  <c r="J66" i="30"/>
  <c r="I68" i="30"/>
  <c r="J85" i="30" s="1"/>
  <c r="I66" i="30"/>
  <c r="I67" i="30"/>
  <c r="H40" i="24"/>
  <c r="G43" i="24"/>
  <c r="I72" i="30"/>
  <c r="J76" i="30"/>
  <c r="J75" i="30"/>
  <c r="J72" i="30"/>
  <c r="J73" i="30"/>
  <c r="I76" i="30"/>
  <c r="I75" i="30"/>
  <c r="I73" i="30"/>
  <c r="J69" i="30"/>
  <c r="J70" i="30"/>
  <c r="J71" i="30"/>
  <c r="J77" i="30"/>
  <c r="J78" i="30"/>
  <c r="J79" i="30"/>
  <c r="J80" i="30"/>
  <c r="J81" i="30"/>
  <c r="J82" i="30"/>
  <c r="J65" i="30"/>
  <c r="I84" i="30" s="1"/>
  <c r="I69" i="30"/>
  <c r="I70" i="30"/>
  <c r="I71" i="30"/>
  <c r="I77" i="30"/>
  <c r="I78" i="30"/>
  <c r="I79" i="30"/>
  <c r="I80" i="30"/>
  <c r="I81" i="30"/>
  <c r="I82" i="30"/>
  <c r="I65" i="30"/>
  <c r="J84" i="30" s="1"/>
  <c r="I89" i="30" s="1"/>
  <c r="G26" i="24"/>
  <c r="G27" i="24"/>
  <c r="I41" i="24"/>
  <c r="H42" i="24"/>
  <c r="B29" i="24"/>
  <c r="B30" i="24" s="1"/>
  <c r="M7" i="24"/>
  <c r="M10" i="24" s="1"/>
  <c r="L9" i="24"/>
  <c r="I40" i="24" l="1"/>
  <c r="H43" i="24"/>
  <c r="J90" i="30"/>
  <c r="L85" i="30"/>
  <c r="J89" i="30" s="1"/>
  <c r="I90" i="30" s="1"/>
  <c r="B31" i="24"/>
  <c r="J41" i="24"/>
  <c r="I42" i="24"/>
  <c r="N7" i="24"/>
  <c r="N10" i="24" s="1"/>
  <c r="M9" i="24"/>
  <c r="J40" i="24" l="1"/>
  <c r="I43" i="24"/>
  <c r="I95" i="30" a="1"/>
  <c r="K41" i="24"/>
  <c r="J42" i="24"/>
  <c r="O7" i="24"/>
  <c r="O10" i="24" s="1"/>
  <c r="N9" i="24"/>
  <c r="K40" i="24" l="1"/>
  <c r="J43" i="24"/>
  <c r="I95" i="30"/>
  <c r="L41" i="24"/>
  <c r="K42" i="24"/>
  <c r="P7" i="24"/>
  <c r="P10" i="24" s="1"/>
  <c r="O9" i="24"/>
  <c r="L40" i="24" l="1"/>
  <c r="L43" i="24" s="1"/>
  <c r="K43" i="24"/>
  <c r="J95" i="30"/>
  <c r="K98" i="30" s="1"/>
  <c r="J96" i="30"/>
  <c r="L42" i="24"/>
  <c r="B45" i="24"/>
  <c r="B47" i="24" s="1"/>
  <c r="Q7" i="24"/>
  <c r="Q10" i="24" s="1"/>
  <c r="P9" i="24"/>
  <c r="J98" i="30" l="1"/>
  <c r="I98" i="30"/>
  <c r="B46" i="24"/>
  <c r="R7" i="24"/>
  <c r="R10" i="24" s="1"/>
  <c r="Q9" i="24"/>
  <c r="J103" i="30" l="1"/>
  <c r="J102" i="30"/>
  <c r="I103" i="30"/>
  <c r="I102" i="30"/>
  <c r="S7" i="24"/>
  <c r="S10" i="24" s="1"/>
  <c r="R9" i="24"/>
  <c r="T7" i="24" l="1"/>
  <c r="T10" i="24" s="1"/>
  <c r="S9" i="24"/>
  <c r="U7" i="24" l="1"/>
  <c r="U10" i="24" s="1"/>
  <c r="T9" i="24"/>
  <c r="V7" i="24" l="1"/>
  <c r="U9" i="24"/>
  <c r="V9" i="24" l="1"/>
  <c r="B13" i="24" s="1"/>
  <c r="V10" i="24"/>
  <c r="B14" i="24" s="1"/>
  <c r="I11"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6"/>
        </ext>
      </extLst>
    </bk>
    <bk>
      <extLst>
        <ext uri="{3e2802c4-a4d2-4d8b-9148-e3be6c30e623}">
          <xlrd:rvb i="9"/>
        </ext>
      </extLst>
    </bk>
  </futureMetadata>
  <cellMetadata count="1">
    <bk>
      <rc t="1" v="0"/>
    </bk>
  </cellMetadata>
  <valueMetadata count="2">
    <bk>
      <rc t="2" v="0"/>
    </bk>
    <bk>
      <rc t="2" v="1"/>
    </bk>
  </valueMetadata>
</metadata>
</file>

<file path=xl/sharedStrings.xml><?xml version="1.0" encoding="utf-8"?>
<sst xmlns="http://schemas.openxmlformats.org/spreadsheetml/2006/main" count="839" uniqueCount="157">
  <si>
    <t>BOND A</t>
  </si>
  <si>
    <t>Maturity</t>
  </si>
  <si>
    <t>Face value ($)</t>
  </si>
  <si>
    <t>Annual coupon</t>
  </si>
  <si>
    <t>Coupon frequency</t>
  </si>
  <si>
    <t>twice a year</t>
  </si>
  <si>
    <t>YTM</t>
  </si>
  <si>
    <t>Cash flows</t>
  </si>
  <si>
    <t>Cash flow x t</t>
  </si>
  <si>
    <t>CF(t^2+T)</t>
  </si>
  <si>
    <t>Price</t>
  </si>
  <si>
    <t>Duration</t>
  </si>
  <si>
    <t>Convexity</t>
  </si>
  <si>
    <t>BOND B</t>
  </si>
  <si>
    <t>BOND C</t>
  </si>
  <si>
    <t>Sensitivity Analysis</t>
  </si>
  <si>
    <t>Bond Yield</t>
  </si>
  <si>
    <t>Bond A</t>
  </si>
  <si>
    <t>Bond B</t>
  </si>
  <si>
    <t>Bond C</t>
  </si>
  <si>
    <t>Bond Coupon</t>
  </si>
  <si>
    <t>Bond Maturity</t>
  </si>
  <si>
    <t>Bond A price</t>
  </si>
  <si>
    <t>Bond B price</t>
  </si>
  <si>
    <t>Bond C Price</t>
  </si>
  <si>
    <t>Immunization</t>
  </si>
  <si>
    <t>BASIC IMMUNIZATION EXAMPLE WITH 3 BONDS</t>
  </si>
  <si>
    <t>Yield to maturity</t>
  </si>
  <si>
    <t>Bond 1</t>
  </si>
  <si>
    <t>Bond 2</t>
  </si>
  <si>
    <t>Bond 3</t>
  </si>
  <si>
    <t>Coupon rate</t>
  </si>
  <si>
    <t>Face value</t>
  </si>
  <si>
    <t>Bond price</t>
  </si>
  <si>
    <t>Face value equal to $1,000 of market value</t>
  </si>
  <si>
    <t>In year 10:</t>
  </si>
  <si>
    <t>New yield to maturity</t>
  </si>
  <si>
    <t>Reinvested coupons</t>
  </si>
  <si>
    <t>Total</t>
  </si>
  <si>
    <t>Multiply by percent of face value bought</t>
  </si>
  <si>
    <t>Product</t>
  </si>
  <si>
    <t>Data table:  Bond value sensitivity to interest rate</t>
  </si>
  <si>
    <t>New YTM in year 10</t>
  </si>
  <si>
    <t xml:space="preserve"> Bond C</t>
  </si>
  <si>
    <t>Durations</t>
  </si>
  <si>
    <t>Weight</t>
  </si>
  <si>
    <t>&lt;--=C6-$B$2*$B$3/(1+B9)^B5</t>
  </si>
  <si>
    <t>T</t>
  </si>
  <si>
    <t>Market price</t>
  </si>
  <si>
    <t>Yield to maturity (YTM)</t>
  </si>
  <si>
    <t>&lt;--=RATE(E5,$B$3*$B$2,-E6,$B$3)</t>
  </si>
  <si>
    <r>
      <t>Price-PV(coupons</t>
    </r>
    <r>
      <rPr>
        <vertAlign val="subscript"/>
        <sz val="11"/>
        <color rgb="FF000000"/>
        <rFont val="Arial"/>
        <family val="2"/>
      </rPr>
      <t>t-1</t>
    </r>
    <r>
      <rPr>
        <sz val="11"/>
        <color rgb="FF000000"/>
        <rFont val="Arial"/>
        <family val="2"/>
      </rPr>
      <t>)</t>
    </r>
  </si>
  <si>
    <t>&lt;--=E6-$B$2*$B$3/(1+B9)^B5-$B$2*$B$3/(1+C9)^C5-$B$2*$B$3/(1+D9)^D5</t>
  </si>
  <si>
    <t>r(spot, 0→t)</t>
  </si>
  <si>
    <t>&lt;--=(($B$3+$B$3*$B$2)/E8)^(1/E5)-1</t>
  </si>
  <si>
    <t>r(forward, t)</t>
  </si>
  <si>
    <t>&lt;--=(1+E9)^E5/(1+D9)^D5-1</t>
  </si>
  <si>
    <t>Part 1</t>
  </si>
  <si>
    <t xml:space="preserve">Sensitivity analysis with change on price from YTM </t>
  </si>
  <si>
    <t>Part 2 a</t>
  </si>
  <si>
    <t>Calculare re using CAPM</t>
  </si>
  <si>
    <t>Part 2 b</t>
  </si>
  <si>
    <t>Fix sharpe ratio/ tangent line</t>
  </si>
  <si>
    <t>Short selling</t>
  </si>
  <si>
    <t>Date</t>
  </si>
  <si>
    <t>Adj Close</t>
  </si>
  <si>
    <t>Return</t>
  </si>
  <si>
    <t>Monthly mean</t>
  </si>
  <si>
    <t>Monthly variance</t>
  </si>
  <si>
    <t>Monthly standard deviation</t>
  </si>
  <si>
    <t>Annual mean</t>
  </si>
  <si>
    <t>Annual variance</t>
  </si>
  <si>
    <t>Annual standard deviation</t>
  </si>
  <si>
    <t>Market Multiples Model</t>
  </si>
  <si>
    <t> </t>
  </si>
  <si>
    <t>Peer Group:</t>
  </si>
  <si>
    <t>MSFT</t>
  </si>
  <si>
    <t>GOOG</t>
  </si>
  <si>
    <t>ORCL</t>
  </si>
  <si>
    <t>IBM</t>
  </si>
  <si>
    <t>Peer Group Average</t>
  </si>
  <si>
    <t>Year</t>
  </si>
  <si>
    <t>Low</t>
  </si>
  <si>
    <t>High</t>
  </si>
  <si>
    <t>Market Price</t>
  </si>
  <si>
    <t>Annual  EPS</t>
  </si>
  <si>
    <t>P/E Ratio</t>
  </si>
  <si>
    <t>Average</t>
  </si>
  <si>
    <t>Using Historical Averages</t>
  </si>
  <si>
    <t>Historical Peer Group Hi-Low Avg.</t>
  </si>
  <si>
    <t>Historical Target Firm Hi-Low Avg.</t>
  </si>
  <si>
    <t>Average P/E</t>
  </si>
  <si>
    <t>Projected Forward EPS</t>
  </si>
  <si>
    <t>Relative P/E Target Price</t>
  </si>
  <si>
    <t>Current Share Price</t>
  </si>
  <si>
    <t>Difference</t>
  </si>
  <si>
    <t>AAPL</t>
  </si>
  <si>
    <t>DELL</t>
  </si>
  <si>
    <t>HPQ</t>
  </si>
  <si>
    <t>NTAP</t>
  </si>
  <si>
    <t>NM</t>
  </si>
  <si>
    <t>Current Share price</t>
  </si>
  <si>
    <t>Weight of AAPL</t>
  </si>
  <si>
    <t>Weight of MSFT</t>
  </si>
  <si>
    <t>Portfolio Return</t>
  </si>
  <si>
    <t>Asset returns</t>
  </si>
  <si>
    <t>Mean return</t>
  </si>
  <si>
    <t>Variance</t>
  </si>
  <si>
    <t>Standard deviation</t>
  </si>
  <si>
    <t>Covariance</t>
  </si>
  <si>
    <t>Portfolio mean return</t>
  </si>
  <si>
    <t>Portfolio return variance</t>
  </si>
  <si>
    <t>Portfolio return standard deviation</t>
  </si>
  <si>
    <t>Portfolio standard deviation</t>
  </si>
  <si>
    <t>Proportion of AAPL</t>
  </si>
  <si>
    <t>Calculated Returns</t>
  </si>
  <si>
    <t>Apple</t>
  </si>
  <si>
    <t>Microsoft</t>
  </si>
  <si>
    <t>Amazon</t>
  </si>
  <si>
    <t>NVDA</t>
  </si>
  <si>
    <t>Google</t>
  </si>
  <si>
    <t>Mean</t>
  </si>
  <si>
    <t xml:space="preserve">Variance </t>
  </si>
  <si>
    <t>Standard Devaition</t>
  </si>
  <si>
    <t>Correlation</t>
  </si>
  <si>
    <t>Variance Co-Variance Matrix</t>
  </si>
  <si>
    <t>Mean Returns</t>
  </si>
  <si>
    <t>Variance-covariance matrix, S</t>
  </si>
  <si>
    <t>Mean returns E(r)</t>
  </si>
  <si>
    <t>Constant</t>
  </si>
  <si>
    <t>x</t>
  </si>
  <si>
    <t>y</t>
  </si>
  <si>
    <t>z</t>
  </si>
  <si>
    <t>Sum</t>
  </si>
  <si>
    <t>Portfolio Mean</t>
  </si>
  <si>
    <t>Portfolio Sigma</t>
  </si>
  <si>
    <t>Covariance (x,y)</t>
  </si>
  <si>
    <t xml:space="preserve">Column Vector </t>
  </si>
  <si>
    <t>GMVP as Columns</t>
  </si>
  <si>
    <t>GMVP</t>
  </si>
  <si>
    <t>Sigma</t>
  </si>
  <si>
    <t>Proportion of x</t>
  </si>
  <si>
    <t>Portfolio Standard Deviation</t>
  </si>
  <si>
    <t>Portfolio Expected Return</t>
  </si>
  <si>
    <t>E(r)</t>
  </si>
  <si>
    <t>Efficient a</t>
  </si>
  <si>
    <t xml:space="preserve">Efficient b </t>
  </si>
  <si>
    <t>rho(x,y)</t>
  </si>
  <si>
    <t>Var-Cov</t>
  </si>
  <si>
    <t>Risk-free rate, rf</t>
  </si>
  <si>
    <t>Z</t>
  </si>
  <si>
    <t>X</t>
  </si>
  <si>
    <t>Market portfolio, M</t>
  </si>
  <si>
    <t>Straight line connecting c and x</t>
  </si>
  <si>
    <t>weight risky</t>
  </si>
  <si>
    <t xml:space="preserve">E(r) </t>
  </si>
  <si>
    <t>Theta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</si>
</sst>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164" formatCode="0.0%"/>
    <numFmt numFmtId="165" formatCode="0.0000"/>
    <numFmt numFmtId="166" formatCode="0.00000%"/>
    <numFmt numFmtId="167" formatCode="0.000000"/>
    <numFmt numFmtId="168" formatCode="0.000%"/>
    <numFmt numFmtId="169" formatCode="0.0000000%"/>
    <numFmt numFmtId="170" formatCode="0.0000000"/>
    <numFmt numFmtId="171" formatCode="0.0000%"/>
    <numFmt numFmtId="172" formatCode="0.00000"/>
    <numFmt numFmtId="173" formatCode="_([$$-409]* #,##0.00_);_([$$-409]* \(#,##0.00\);_([$$-409]* &quot;-&quot;??_);_(@_)"/>
  </numFmts>
  <fonts count="28">
    <font>
      <sz val="10"/>
      <name val="Arial"/>
    </font>
    <font>
      <b/>
      <sz val="10"/>
      <name val="Arial"/>
      <family val="2"/>
    </font>
    <font>
      <sz val="10"/>
      <name val="Arial"/>
      <family val="2"/>
    </font>
    <font>
      <sz val="9"/>
      <name val="宋体"/>
      <family val="3"/>
      <charset val="134"/>
    </font>
    <font>
      <b/>
      <sz val="10"/>
      <color theme="1"/>
      <name val="Arial"/>
      <family val="2"/>
    </font>
    <font>
      <b/>
      <sz val="12"/>
      <color rgb="FF000000"/>
      <name val="Calibri"/>
      <family val="2"/>
      <scheme val="minor"/>
    </font>
    <font>
      <sz val="12"/>
      <color rgb="FF000000"/>
      <name val="Calibri"/>
      <family val="2"/>
      <scheme val="minor"/>
    </font>
    <font>
      <b/>
      <sz val="12"/>
      <color theme="1"/>
      <name val="Calibri"/>
      <family val="2"/>
      <scheme val="minor"/>
    </font>
    <font>
      <b/>
      <sz val="11"/>
      <color theme="1"/>
      <name val="Arial"/>
      <family val="2"/>
    </font>
    <font>
      <sz val="11"/>
      <color rgb="FF000000"/>
      <name val="Arial"/>
      <family val="2"/>
    </font>
    <font>
      <b/>
      <sz val="11"/>
      <color rgb="FF000000"/>
      <name val="Arial"/>
      <family val="2"/>
    </font>
    <font>
      <b/>
      <sz val="12"/>
      <name val="Arial"/>
      <family val="2"/>
    </font>
    <font>
      <b/>
      <sz val="14"/>
      <name val="Arial"/>
      <family val="2"/>
    </font>
    <font>
      <sz val="10"/>
      <name val="Arial"/>
      <family val="2"/>
    </font>
    <font>
      <b/>
      <sz val="14"/>
      <color rgb="FFFFFFFF"/>
      <name val="Calibri"/>
      <family val="2"/>
    </font>
    <font>
      <sz val="11"/>
      <color rgb="FF000000"/>
      <name val="Calibri"/>
      <family val="2"/>
    </font>
    <font>
      <sz val="10"/>
      <color rgb="FF000000"/>
      <name val="Calibri"/>
      <family val="2"/>
    </font>
    <font>
      <b/>
      <sz val="10"/>
      <name val="Calibri"/>
      <family val="2"/>
    </font>
    <font>
      <b/>
      <sz val="11"/>
      <name val="Calibri"/>
      <family val="2"/>
    </font>
    <font>
      <sz val="10"/>
      <name val="Calibri"/>
      <family val="2"/>
    </font>
    <font>
      <b/>
      <sz val="10"/>
      <color rgb="FF0000FF"/>
      <name val="Calibri"/>
      <family val="2"/>
    </font>
    <font>
      <b/>
      <sz val="10"/>
      <color rgb="FF000000"/>
      <name val="Calibri"/>
      <family val="2"/>
    </font>
    <font>
      <sz val="10"/>
      <color rgb="FF7030A0"/>
      <name val="Calibri"/>
      <family val="2"/>
    </font>
    <font>
      <b/>
      <sz val="10"/>
      <color rgb="FFFFFFFF"/>
      <name val="Calibri"/>
      <family val="2"/>
    </font>
    <font>
      <b/>
      <u/>
      <sz val="10"/>
      <color rgb="FFFFFFFF"/>
      <name val="Calibri"/>
      <family val="2"/>
    </font>
    <font>
      <sz val="11"/>
      <color rgb="FFFFFFFF"/>
      <name val="Calibri"/>
      <family val="2"/>
    </font>
    <font>
      <sz val="10"/>
      <color rgb="FFFFFFFF"/>
      <name val="Calibri"/>
      <family val="2"/>
    </font>
    <font>
      <vertAlign val="subscript"/>
      <sz val="11"/>
      <color rgb="FF000000"/>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DCE6F1"/>
        <bgColor rgb="FF000000"/>
      </patternFill>
    </fill>
    <fill>
      <patternFill patternType="solid">
        <fgColor rgb="FF44546A"/>
        <bgColor rgb="FF000000"/>
      </patternFill>
    </fill>
    <fill>
      <patternFill patternType="solid">
        <fgColor rgb="FFFFFFFF"/>
        <bgColor rgb="FF000000"/>
      </patternFill>
    </fill>
    <fill>
      <patternFill patternType="solid">
        <fgColor rgb="FFA5A5A5"/>
        <bgColor rgb="FF000000"/>
      </patternFill>
    </fill>
    <fill>
      <patternFill patternType="solid">
        <fgColor rgb="FFFFFF00"/>
        <bgColor rgb="FF000000"/>
      </patternFill>
    </fill>
    <fill>
      <patternFill patternType="solid">
        <fgColor rgb="FFBDD7EE"/>
        <bgColor rgb="FF000000"/>
      </patternFill>
    </fill>
    <fill>
      <patternFill patternType="solid">
        <fgColor rgb="FFED7D31"/>
        <bgColor rgb="FF000000"/>
      </patternFill>
    </fill>
    <fill>
      <patternFill patternType="solid">
        <fgColor rgb="FFE2EFDA"/>
        <bgColor rgb="FF000000"/>
      </patternFill>
    </fill>
    <fill>
      <patternFill patternType="solid">
        <fgColor rgb="FFFFFFCC"/>
        <bgColor rgb="FF000000"/>
      </patternFill>
    </fill>
    <fill>
      <patternFill patternType="solid">
        <fgColor rgb="FFD9D9D9"/>
        <bgColor rgb="FF000000"/>
      </patternFill>
    </fill>
    <fill>
      <patternFill patternType="solid">
        <fgColor rgb="FFA9D08E"/>
        <bgColor rgb="FF000000"/>
      </patternFill>
    </fill>
    <fill>
      <patternFill patternType="solid">
        <fgColor rgb="FF548235"/>
        <bgColor rgb="FF000000"/>
      </patternFill>
    </fill>
    <fill>
      <patternFill patternType="solid">
        <fgColor rgb="FFD9E1F2"/>
        <bgColor rgb="FF000000"/>
      </patternFill>
    </fill>
    <fill>
      <patternFill patternType="solid">
        <fgColor rgb="FF4472C4"/>
        <bgColor rgb="FF000000"/>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medium">
        <color rgb="FF808080"/>
      </top>
      <bottom style="medium">
        <color rgb="FF808080"/>
      </bottom>
      <diagonal/>
    </border>
    <border>
      <left/>
      <right/>
      <top style="medium">
        <color rgb="FF808080"/>
      </top>
      <bottom/>
      <diagonal/>
    </border>
    <border>
      <left/>
      <right/>
      <top/>
      <bottom style="medium">
        <color rgb="FF808080"/>
      </bottom>
      <diagonal/>
    </border>
    <border>
      <left/>
      <right/>
      <top style="medium">
        <color rgb="FF808080"/>
      </top>
      <bottom style="dotted">
        <color rgb="FF808080"/>
      </bottom>
      <diagonal/>
    </border>
    <border>
      <left/>
      <right/>
      <top/>
      <bottom style="dotted">
        <color rgb="FF808080"/>
      </bottom>
      <diagonal/>
    </border>
    <border>
      <left/>
      <right/>
      <top style="dotted">
        <color rgb="FF808080"/>
      </top>
      <bottom style="medium">
        <color rgb="FF808080"/>
      </bottom>
      <diagonal/>
    </border>
    <border>
      <left/>
      <right/>
      <top style="dotted">
        <color rgb="FF808080"/>
      </top>
      <bottom/>
      <diagonal/>
    </border>
    <border>
      <left/>
      <right/>
      <top style="dotted">
        <color rgb="FF808080"/>
      </top>
      <bottom style="dotted">
        <color rgb="FF808080"/>
      </bottom>
      <diagonal/>
    </border>
    <border>
      <left/>
      <right style="medium">
        <color rgb="FF333F4F"/>
      </right>
      <top/>
      <bottom/>
      <diagonal/>
    </border>
    <border>
      <left/>
      <right/>
      <top style="medium">
        <color rgb="FF333F4F"/>
      </top>
      <bottom style="dotted">
        <color rgb="FF808080"/>
      </bottom>
      <diagonal/>
    </border>
    <border>
      <left/>
      <right style="medium">
        <color rgb="FF333F4F"/>
      </right>
      <top style="medium">
        <color rgb="FF333F4F"/>
      </top>
      <bottom style="dotted">
        <color rgb="FF80808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rgb="FF44546A"/>
      </left>
      <right style="medium">
        <color rgb="FF44546A"/>
      </right>
      <top style="medium">
        <color rgb="FF44546A"/>
      </top>
      <bottom style="medium">
        <color rgb="FF44546A"/>
      </bottom>
      <diagonal/>
    </border>
    <border>
      <left/>
      <right style="medium">
        <color rgb="FF333F4F"/>
      </right>
      <top/>
      <bottom style="dotted">
        <color rgb="FF808080"/>
      </bottom>
      <diagonal/>
    </border>
    <border>
      <left/>
      <right/>
      <top/>
      <bottom style="medium">
        <color rgb="FF333F4F"/>
      </bottom>
      <diagonal/>
    </border>
    <border>
      <left/>
      <right style="medium">
        <color rgb="FF333F4F"/>
      </right>
      <top/>
      <bottom style="medium">
        <color rgb="FF333F4F"/>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rgb="FF000000"/>
      </bottom>
      <diagonal/>
    </border>
  </borders>
  <cellStyleXfs count="3">
    <xf numFmtId="0" fontId="0" fillId="0" borderId="0"/>
    <xf numFmtId="0" fontId="2" fillId="0" borderId="0"/>
    <xf numFmtId="9" fontId="13" fillId="0" borderId="0" applyFont="0" applyFill="0" applyBorder="0" applyAlignment="0" applyProtection="0"/>
  </cellStyleXfs>
  <cellXfs count="165">
    <xf numFmtId="0" fontId="0" fillId="0" borderId="0" xfId="0"/>
    <xf numFmtId="0" fontId="1" fillId="0" borderId="0" xfId="0" applyFont="1"/>
    <xf numFmtId="9" fontId="0" fillId="0" borderId="0" xfId="0" applyNumberFormat="1"/>
    <xf numFmtId="10" fontId="0" fillId="0" borderId="0" xfId="0" applyNumberFormat="1"/>
    <xf numFmtId="4" fontId="0" fillId="0" borderId="0" xfId="0" applyNumberFormat="1"/>
    <xf numFmtId="4" fontId="0" fillId="2" borderId="0" xfId="0" applyNumberFormat="1" applyFill="1"/>
    <xf numFmtId="0" fontId="0" fillId="2" borderId="0" xfId="0" applyFill="1"/>
    <xf numFmtId="0" fontId="2" fillId="0" borderId="0" xfId="0" applyFont="1"/>
    <xf numFmtId="164" fontId="0" fillId="0" borderId="0" xfId="0" applyNumberFormat="1"/>
    <xf numFmtId="1" fontId="1" fillId="0" borderId="0" xfId="0" applyNumberFormat="1" applyFont="1"/>
    <xf numFmtId="8" fontId="0" fillId="0" borderId="0" xfId="0" applyNumberFormat="1"/>
    <xf numFmtId="0" fontId="4" fillId="0" borderId="0" xfId="0" applyFont="1"/>
    <xf numFmtId="0" fontId="5" fillId="0" borderId="0" xfId="0" applyFont="1"/>
    <xf numFmtId="14" fontId="0" fillId="0" borderId="0" xfId="0" applyNumberFormat="1"/>
    <xf numFmtId="0" fontId="6" fillId="0" borderId="0" xfId="0" applyFont="1"/>
    <xf numFmtId="0" fontId="7" fillId="0" borderId="0" xfId="0" applyFont="1"/>
    <xf numFmtId="0" fontId="0" fillId="0" borderId="0" xfId="0" applyAlignment="1">
      <alignment horizontal="right"/>
    </xf>
    <xf numFmtId="0" fontId="6" fillId="0" borderId="0" xfId="0" applyFont="1" applyAlignment="1">
      <alignment horizontal="right"/>
    </xf>
    <xf numFmtId="0" fontId="8" fillId="0" borderId="0" xfId="0" applyFont="1" applyAlignment="1">
      <alignment horizontal="center" vertical="center"/>
    </xf>
    <xf numFmtId="0" fontId="8" fillId="0" borderId="0" xfId="0" applyFont="1" applyAlignment="1">
      <alignment vertical="center"/>
    </xf>
    <xf numFmtId="165" fontId="0" fillId="0" borderId="0" xfId="0" applyNumberFormat="1" applyAlignment="1">
      <alignment horizontal="center"/>
    </xf>
    <xf numFmtId="166" fontId="0" fillId="0" borderId="0" xfId="0" applyNumberFormat="1"/>
    <xf numFmtId="0" fontId="8" fillId="0" borderId="0" xfId="0" applyFont="1" applyAlignment="1">
      <alignment horizontal="center" wrapText="1"/>
    </xf>
    <xf numFmtId="0" fontId="0" fillId="0" borderId="0" xfId="0" applyAlignment="1">
      <alignment horizontal="center" vertical="center" wrapText="1"/>
    </xf>
    <xf numFmtId="167" fontId="8" fillId="0" borderId="0" xfId="0" applyNumberFormat="1" applyFont="1"/>
    <xf numFmtId="9" fontId="0" fillId="0" borderId="0" xfId="0" applyNumberFormat="1" applyAlignment="1">
      <alignment vertical="center" wrapText="1"/>
    </xf>
    <xf numFmtId="169" fontId="0" fillId="0" borderId="0" xfId="0" applyNumberFormat="1"/>
    <xf numFmtId="9" fontId="0" fillId="0" borderId="0" xfId="0" applyNumberFormat="1" applyAlignment="1">
      <alignment horizontal="right" vertical="center"/>
    </xf>
    <xf numFmtId="0" fontId="9" fillId="0" borderId="0" xfId="0" applyFont="1"/>
    <xf numFmtId="9" fontId="9" fillId="0" borderId="0" xfId="0" applyNumberFormat="1" applyFont="1"/>
    <xf numFmtId="10" fontId="9" fillId="0" borderId="0" xfId="0" applyNumberFormat="1" applyFont="1"/>
    <xf numFmtId="168" fontId="9" fillId="0" borderId="0" xfId="0" applyNumberFormat="1" applyFont="1"/>
    <xf numFmtId="0" fontId="10" fillId="0" borderId="0" xfId="0" applyFont="1"/>
    <xf numFmtId="9" fontId="9" fillId="3" borderId="0" xfId="0" applyNumberFormat="1" applyFont="1" applyFill="1"/>
    <xf numFmtId="168" fontId="9" fillId="3" borderId="0" xfId="0" applyNumberFormat="1" applyFont="1" applyFill="1"/>
    <xf numFmtId="168" fontId="0" fillId="0" borderId="0" xfId="0" applyNumberFormat="1"/>
    <xf numFmtId="0" fontId="1" fillId="0" borderId="0" xfId="0" applyFont="1" applyAlignment="1">
      <alignment horizontal="center" vertical="center"/>
    </xf>
    <xf numFmtId="0" fontId="0" fillId="0" borderId="0" xfId="0" applyAlignment="1">
      <alignment horizontal="center" vertical="center"/>
    </xf>
    <xf numFmtId="9" fontId="0" fillId="0" borderId="0" xfId="0" applyNumberFormat="1" applyAlignment="1">
      <alignment horizontal="center" vertical="center"/>
    </xf>
    <xf numFmtId="0" fontId="11" fillId="0" borderId="0" xfId="0" applyFont="1"/>
    <xf numFmtId="0" fontId="2" fillId="0" borderId="0" xfId="0" applyFont="1" applyAlignment="1">
      <alignment horizontal="center" vertical="center"/>
    </xf>
    <xf numFmtId="0" fontId="2" fillId="4" borderId="0" xfId="0" applyFont="1" applyFill="1"/>
    <xf numFmtId="9" fontId="2" fillId="0" borderId="0" xfId="0" applyNumberFormat="1" applyFont="1"/>
    <xf numFmtId="10" fontId="2" fillId="0" borderId="0" xfId="0" applyNumberFormat="1" applyFont="1"/>
    <xf numFmtId="3" fontId="2" fillId="0" borderId="0" xfId="0" applyNumberFormat="1" applyFont="1"/>
    <xf numFmtId="8" fontId="2" fillId="4" borderId="0" xfId="0" applyNumberFormat="1" applyFont="1" applyFill="1"/>
    <xf numFmtId="9" fontId="0" fillId="4" borderId="0" xfId="0" applyNumberFormat="1" applyFill="1"/>
    <xf numFmtId="8" fontId="2" fillId="0" borderId="0" xfId="0" applyNumberFormat="1" applyFont="1"/>
    <xf numFmtId="6" fontId="0" fillId="0" borderId="0" xfId="0" applyNumberFormat="1"/>
    <xf numFmtId="0" fontId="2" fillId="0" borderId="0" xfId="0" quotePrefix="1" applyFont="1"/>
    <xf numFmtId="170" fontId="0" fillId="0" borderId="0" xfId="0" applyNumberFormat="1"/>
    <xf numFmtId="171" fontId="0" fillId="0" borderId="0" xfId="0" applyNumberFormat="1"/>
    <xf numFmtId="0" fontId="0" fillId="0" borderId="1" xfId="0" applyBorder="1"/>
    <xf numFmtId="0" fontId="5" fillId="0" borderId="1" xfId="0" applyFont="1" applyBorder="1"/>
    <xf numFmtId="14" fontId="0" fillId="0" borderId="1" xfId="0" applyNumberFormat="1" applyBorder="1"/>
    <xf numFmtId="0" fontId="6" fillId="0" borderId="1" xfId="0" applyFont="1" applyBorder="1"/>
    <xf numFmtId="10" fontId="0" fillId="0" borderId="1" xfId="0" applyNumberFormat="1" applyBorder="1"/>
    <xf numFmtId="0" fontId="10" fillId="0" borderId="1" xfId="0" applyFont="1" applyBorder="1"/>
    <xf numFmtId="0" fontId="9" fillId="0" borderId="1" xfId="0" applyFont="1" applyBorder="1"/>
    <xf numFmtId="165" fontId="9" fillId="0" borderId="0" xfId="0" applyNumberFormat="1" applyFont="1"/>
    <xf numFmtId="165" fontId="9" fillId="3" borderId="0" xfId="0" applyNumberFormat="1" applyFont="1" applyFill="1"/>
    <xf numFmtId="172" fontId="0" fillId="0" borderId="0" xfId="0" applyNumberFormat="1"/>
    <xf numFmtId="0" fontId="9" fillId="0" borderId="0" xfId="0" applyFont="1" applyAlignment="1">
      <alignment wrapText="1"/>
    </xf>
    <xf numFmtId="164" fontId="0" fillId="0" borderId="0" xfId="2" applyNumberFormat="1" applyFont="1"/>
    <xf numFmtId="9" fontId="1" fillId="0" borderId="0" xfId="0" applyNumberFormat="1" applyFont="1"/>
    <xf numFmtId="0" fontId="1" fillId="0" borderId="1" xfId="0" applyFont="1" applyBorder="1"/>
    <xf numFmtId="0" fontId="14" fillId="5" borderId="0" xfId="0" applyFont="1" applyFill="1"/>
    <xf numFmtId="0" fontId="15" fillId="5" borderId="0" xfId="0" applyFont="1" applyFill="1"/>
    <xf numFmtId="0" fontId="16" fillId="6" borderId="0" xfId="0" applyFont="1" applyFill="1"/>
    <xf numFmtId="0" fontId="17" fillId="6" borderId="0" xfId="0" applyFont="1" applyFill="1"/>
    <xf numFmtId="0" fontId="15" fillId="6" borderId="0" xfId="0" applyFont="1" applyFill="1"/>
    <xf numFmtId="0" fontId="18" fillId="7" borderId="4" xfId="0" applyFont="1" applyFill="1" applyBorder="1"/>
    <xf numFmtId="0" fontId="19" fillId="7" borderId="4" xfId="0" applyFont="1" applyFill="1" applyBorder="1"/>
    <xf numFmtId="0" fontId="15" fillId="6" borderId="4" xfId="0" applyFont="1" applyFill="1" applyBorder="1"/>
    <xf numFmtId="0" fontId="15" fillId="10" borderId="4" xfId="0" applyFont="1" applyFill="1" applyBorder="1"/>
    <xf numFmtId="0" fontId="15" fillId="6" borderId="7" xfId="0" applyFont="1" applyFill="1" applyBorder="1"/>
    <xf numFmtId="8" fontId="22" fillId="12" borderId="7" xfId="0" applyNumberFormat="1" applyFont="1" applyFill="1" applyBorder="1"/>
    <xf numFmtId="8" fontId="22" fillId="13" borderId="0" xfId="0" applyNumberFormat="1" applyFont="1" applyFill="1"/>
    <xf numFmtId="0" fontId="15" fillId="6" borderId="8" xfId="0" applyFont="1" applyFill="1" applyBorder="1"/>
    <xf numFmtId="8" fontId="22" fillId="12" borderId="8" xfId="0" applyNumberFormat="1" applyFont="1" applyFill="1" applyBorder="1"/>
    <xf numFmtId="8" fontId="22" fillId="12" borderId="0" xfId="0" applyNumberFormat="1" applyFont="1" applyFill="1"/>
    <xf numFmtId="0" fontId="15" fillId="6" borderId="9" xfId="0" applyFont="1" applyFill="1" applyBorder="1"/>
    <xf numFmtId="8" fontId="22" fillId="12" borderId="10" xfId="0" applyNumberFormat="1" applyFont="1" applyFill="1" applyBorder="1"/>
    <xf numFmtId="8" fontId="22" fillId="12" borderId="9" xfId="0" applyNumberFormat="1" applyFont="1" applyFill="1" applyBorder="1"/>
    <xf numFmtId="0" fontId="16" fillId="13" borderId="0" xfId="0" applyFont="1" applyFill="1"/>
    <xf numFmtId="0" fontId="21" fillId="16" borderId="6" xfId="0" applyFont="1" applyFill="1" applyBorder="1"/>
    <xf numFmtId="0" fontId="15" fillId="6" borderId="6" xfId="0" applyFont="1" applyFill="1" applyBorder="1"/>
    <xf numFmtId="0" fontId="24" fillId="17" borderId="0" xfId="0" applyFont="1" applyFill="1"/>
    <xf numFmtId="0" fontId="25" fillId="17" borderId="0" xfId="0" applyFont="1" applyFill="1"/>
    <xf numFmtId="0" fontId="26" fillId="17" borderId="0" xfId="0" applyFont="1" applyFill="1"/>
    <xf numFmtId="0" fontId="17" fillId="0" borderId="0" xfId="0" applyFont="1"/>
    <xf numFmtId="0" fontId="16" fillId="0" borderId="15" xfId="0" applyFont="1" applyBorder="1"/>
    <xf numFmtId="0" fontId="16" fillId="0" borderId="0" xfId="0" applyFont="1"/>
    <xf numFmtId="0" fontId="15" fillId="0" borderId="0" xfId="0" applyFont="1"/>
    <xf numFmtId="0" fontId="19" fillId="0" borderId="16" xfId="0" applyFont="1" applyBorder="1"/>
    <xf numFmtId="0" fontId="19" fillId="0" borderId="1" xfId="0" applyFont="1" applyBorder="1"/>
    <xf numFmtId="8" fontId="16" fillId="0" borderId="17" xfId="0" applyNumberFormat="1" applyFont="1" applyBorder="1"/>
    <xf numFmtId="0" fontId="21" fillId="16" borderId="0" xfId="0" applyFont="1" applyFill="1"/>
    <xf numFmtId="0" fontId="15" fillId="16" borderId="0" xfId="0" applyFont="1" applyFill="1"/>
    <xf numFmtId="8" fontId="21" fillId="16" borderId="18" xfId="0" applyNumberFormat="1" applyFont="1" applyFill="1" applyBorder="1"/>
    <xf numFmtId="0" fontId="16" fillId="16" borderId="0" xfId="0" applyFont="1" applyFill="1"/>
    <xf numFmtId="0" fontId="21" fillId="10" borderId="4" xfId="0" applyFont="1" applyFill="1" applyBorder="1" applyAlignment="1">
      <alignment horizontal="center" vertical="center"/>
    </xf>
    <xf numFmtId="0" fontId="21" fillId="10" borderId="4" xfId="0" applyFont="1" applyFill="1" applyBorder="1" applyAlignment="1">
      <alignment horizontal="center"/>
    </xf>
    <xf numFmtId="0" fontId="17" fillId="6" borderId="7" xfId="0" applyFont="1" applyFill="1" applyBorder="1" applyAlignment="1">
      <alignment horizontal="center"/>
    </xf>
    <xf numFmtId="0" fontId="17" fillId="6" borderId="8" xfId="0" applyFont="1" applyFill="1" applyBorder="1" applyAlignment="1">
      <alignment horizontal="center"/>
    </xf>
    <xf numFmtId="0" fontId="17" fillId="6" borderId="0" xfId="0" applyFont="1" applyFill="1" applyAlignment="1">
      <alignment horizontal="center"/>
    </xf>
    <xf numFmtId="0" fontId="17" fillId="6" borderId="9" xfId="0" applyFont="1" applyFill="1" applyBorder="1" applyAlignment="1">
      <alignment horizontal="center"/>
    </xf>
    <xf numFmtId="173" fontId="16" fillId="0" borderId="0" xfId="0" applyNumberFormat="1" applyFont="1"/>
    <xf numFmtId="2" fontId="19" fillId="6" borderId="7" xfId="0" applyNumberFormat="1" applyFont="1" applyFill="1" applyBorder="1"/>
    <xf numFmtId="2" fontId="15" fillId="6" borderId="7" xfId="0" applyNumberFormat="1" applyFont="1" applyFill="1" applyBorder="1"/>
    <xf numFmtId="2" fontId="15" fillId="6" borderId="12" xfId="0" applyNumberFormat="1" applyFont="1" applyFill="1" applyBorder="1"/>
    <xf numFmtId="2" fontId="19" fillId="6" borderId="13" xfId="0" applyNumberFormat="1" applyFont="1" applyFill="1" applyBorder="1"/>
    <xf numFmtId="2" fontId="19" fillId="6" borderId="14" xfId="0" applyNumberFormat="1" applyFont="1" applyFill="1" applyBorder="1"/>
    <xf numFmtId="2" fontId="15" fillId="6" borderId="8" xfId="0" applyNumberFormat="1" applyFont="1" applyFill="1" applyBorder="1"/>
    <xf numFmtId="2" fontId="21" fillId="16" borderId="6" xfId="0" applyNumberFormat="1" applyFont="1" applyFill="1" applyBorder="1"/>
    <xf numFmtId="2" fontId="15" fillId="6" borderId="6" xfId="0" applyNumberFormat="1" applyFont="1" applyFill="1" applyBorder="1"/>
    <xf numFmtId="0" fontId="19" fillId="6" borderId="7" xfId="0" applyFont="1" applyFill="1" applyBorder="1"/>
    <xf numFmtId="0" fontId="15" fillId="6" borderId="12" xfId="0" applyFont="1" applyFill="1" applyBorder="1"/>
    <xf numFmtId="0" fontId="19" fillId="6" borderId="13" xfId="0" applyFont="1" applyFill="1" applyBorder="1"/>
    <xf numFmtId="0" fontId="19" fillId="6" borderId="14" xfId="0" applyFont="1" applyFill="1" applyBorder="1"/>
    <xf numFmtId="0" fontId="19" fillId="6" borderId="8" xfId="0" applyFont="1" applyFill="1" applyBorder="1"/>
    <xf numFmtId="0" fontId="19" fillId="6" borderId="19" xfId="0" applyFont="1" applyFill="1" applyBorder="1"/>
    <xf numFmtId="0" fontId="21" fillId="16" borderId="20" xfId="0" applyFont="1" applyFill="1" applyBorder="1"/>
    <xf numFmtId="0" fontId="21" fillId="16" borderId="21" xfId="0" applyFont="1" applyFill="1" applyBorder="1"/>
    <xf numFmtId="0" fontId="17" fillId="6" borderId="7" xfId="0" applyFont="1" applyFill="1" applyBorder="1" applyAlignment="1">
      <alignment horizontal="center" vertical="center"/>
    </xf>
    <xf numFmtId="0" fontId="17" fillId="6" borderId="8" xfId="0" applyFont="1" applyFill="1" applyBorder="1" applyAlignment="1">
      <alignment horizontal="center" vertical="center"/>
    </xf>
    <xf numFmtId="0" fontId="17" fillId="6" borderId="0" xfId="0" applyFont="1" applyFill="1" applyAlignment="1">
      <alignment horizontal="center" vertical="center"/>
    </xf>
    <xf numFmtId="0" fontId="17" fillId="6" borderId="9" xfId="0" applyFont="1" applyFill="1" applyBorder="1" applyAlignment="1">
      <alignment horizontal="center" vertical="center"/>
    </xf>
    <xf numFmtId="0" fontId="16" fillId="6" borderId="0" xfId="0" applyFont="1" applyFill="1" applyAlignment="1">
      <alignment horizontal="center"/>
    </xf>
    <xf numFmtId="173" fontId="0" fillId="0" borderId="0" xfId="0" applyNumberFormat="1"/>
    <xf numFmtId="173" fontId="21" fillId="16" borderId="18" xfId="0" applyNumberFormat="1" applyFont="1" applyFill="1" applyBorder="1"/>
    <xf numFmtId="10" fontId="21" fillId="16" borderId="18" xfId="0" applyNumberFormat="1" applyFont="1" applyFill="1" applyBorder="1"/>
    <xf numFmtId="3" fontId="9" fillId="0" borderId="0" xfId="0" applyNumberFormat="1" applyFont="1"/>
    <xf numFmtId="10" fontId="10" fillId="0" borderId="0" xfId="0" applyNumberFormat="1" applyFont="1"/>
    <xf numFmtId="0" fontId="9" fillId="0" borderId="0" xfId="0" applyFont="1"/>
    <xf numFmtId="0" fontId="1" fillId="0" borderId="0" xfId="0" applyFont="1" applyAlignment="1">
      <alignment horizontal="center" vertical="center"/>
    </xf>
    <xf numFmtId="0" fontId="12" fillId="0" borderId="0" xfId="0" applyFont="1"/>
    <xf numFmtId="0" fontId="9" fillId="0" borderId="22" xfId="0" applyFont="1" applyBorder="1"/>
    <xf numFmtId="0" fontId="9" fillId="0" borderId="23" xfId="0" applyFont="1" applyBorder="1"/>
    <xf numFmtId="0" fontId="23" fillId="15" borderId="5" xfId="0" applyFont="1" applyFill="1" applyBorder="1" applyAlignment="1">
      <alignment horizontal="center" vertical="center"/>
    </xf>
    <xf numFmtId="0" fontId="23" fillId="15" borderId="0" xfId="0" applyFont="1" applyFill="1" applyAlignment="1">
      <alignment horizontal="center" vertical="center"/>
    </xf>
    <xf numFmtId="0" fontId="23" fillId="15" borderId="6" xfId="0" applyFont="1" applyFill="1" applyBorder="1" applyAlignment="1">
      <alignment horizontal="center" vertical="center"/>
    </xf>
    <xf numFmtId="8" fontId="22" fillId="12" borderId="11" xfId="0" applyNumberFormat="1" applyFont="1" applyFill="1" applyBorder="1" applyAlignment="1">
      <alignment horizontal="center"/>
    </xf>
    <xf numFmtId="0" fontId="22" fillId="12" borderId="11" xfId="0" applyFont="1" applyFill="1" applyBorder="1" applyAlignment="1">
      <alignment horizontal="center"/>
    </xf>
    <xf numFmtId="0" fontId="21" fillId="14" borderId="5" xfId="0" applyFont="1" applyFill="1" applyBorder="1" applyAlignment="1">
      <alignment horizontal="center" vertical="center"/>
    </xf>
    <xf numFmtId="0" fontId="21" fillId="14" borderId="0" xfId="0" applyFont="1" applyFill="1" applyAlignment="1">
      <alignment horizontal="center" vertical="center"/>
    </xf>
    <xf numFmtId="0" fontId="21" fillId="14" borderId="6" xfId="0" applyFont="1" applyFill="1" applyBorder="1" applyAlignment="1">
      <alignment horizontal="center" vertical="center"/>
    </xf>
    <xf numFmtId="8" fontId="22" fillId="12" borderId="7" xfId="0" applyNumberFormat="1" applyFont="1" applyFill="1" applyBorder="1" applyAlignment="1">
      <alignment horizontal="center"/>
    </xf>
    <xf numFmtId="0" fontId="22" fillId="12" borderId="7" xfId="0" applyFont="1" applyFill="1" applyBorder="1" applyAlignment="1">
      <alignment horizontal="center"/>
    </xf>
    <xf numFmtId="8" fontId="22" fillId="13" borderId="0" xfId="0" applyNumberFormat="1" applyFont="1" applyFill="1" applyAlignment="1">
      <alignment horizontal="center"/>
    </xf>
    <xf numFmtId="0" fontId="22" fillId="13" borderId="0" xfId="0" applyFont="1" applyFill="1" applyAlignment="1">
      <alignment horizontal="center"/>
    </xf>
    <xf numFmtId="8" fontId="22" fillId="12" borderId="9" xfId="0" applyNumberFormat="1" applyFont="1" applyFill="1" applyBorder="1" applyAlignment="1">
      <alignment horizontal="center"/>
    </xf>
    <xf numFmtId="0" fontId="22" fillId="12" borderId="9" xfId="0" applyFont="1" applyFill="1" applyBorder="1" applyAlignment="1">
      <alignment horizontal="center"/>
    </xf>
    <xf numFmtId="0" fontId="17" fillId="9" borderId="4" xfId="0" applyFont="1" applyFill="1" applyBorder="1"/>
    <xf numFmtId="0" fontId="21" fillId="11" borderId="5" xfId="0" applyFont="1" applyFill="1" applyBorder="1" applyAlignment="1">
      <alignment horizontal="center" vertical="center"/>
    </xf>
    <xf numFmtId="0" fontId="21" fillId="11" borderId="0" xfId="0" applyFont="1" applyFill="1" applyAlignment="1">
      <alignment horizontal="center" vertical="center"/>
    </xf>
    <xf numFmtId="0" fontId="21" fillId="11" borderId="6" xfId="0" applyFont="1" applyFill="1" applyBorder="1" applyAlignment="1">
      <alignment horizontal="center" vertical="center"/>
    </xf>
    <xf numFmtId="0" fontId="17" fillId="7" borderId="4" xfId="0" applyFont="1" applyFill="1" applyBorder="1" applyAlignment="1">
      <alignment horizontal="center"/>
    </xf>
    <xf numFmtId="0" fontId="20" fillId="8" borderId="4" xfId="0" applyFont="1" applyFill="1" applyBorder="1" applyAlignment="1">
      <alignment horizontal="center"/>
    </xf>
    <xf numFmtId="0" fontId="1" fillId="0" borderId="1" xfId="0" applyFont="1" applyBorder="1" applyAlignment="1">
      <alignment horizontal="center"/>
    </xf>
    <xf numFmtId="10" fontId="0" fillId="0" borderId="1" xfId="0" applyNumberForma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cellXfs>
  <cellStyles count="3">
    <cellStyle name="Normal" xfId="0" builtinId="0"/>
    <cellStyle name="Normal 2" xfId="1" xr:uid="{C8F52168-8A4D-4B8F-90D2-D4CE408D2429}"/>
    <cellStyle name="Percent" xfId="2"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YTM vs Duration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Bond A</c:v>
          </c:tx>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'Part 1'!$A$56:$A$72</c:f>
              <c:numCache>
                <c:formatCode>0%</c:formatCode>
                <c:ptCount val="17"/>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numCache>
            </c:numRef>
          </c:cat>
          <c:val>
            <c:numRef>
              <c:f>'Part 1'!$B$56:$B$72</c:f>
              <c:numCache>
                <c:formatCode>General</c:formatCode>
                <c:ptCount val="17"/>
                <c:pt idx="0">
                  <c:v>16.510000000000002</c:v>
                </c:pt>
                <c:pt idx="1">
                  <c:v>16.161871999999999</c:v>
                </c:pt>
                <c:pt idx="2">
                  <c:v>15.789994699999999</c:v>
                </c:pt>
                <c:pt idx="3">
                  <c:v>15.3949502</c:v>
                </c:pt>
                <c:pt idx="4">
                  <c:v>14.9780435</c:v>
                </c:pt>
                <c:pt idx="5">
                  <c:v>14.541080300000001</c:v>
                </c:pt>
                <c:pt idx="6">
                  <c:v>14.086353000000001</c:v>
                </c:pt>
                <c:pt idx="7">
                  <c:v>13.6166018</c:v>
                </c:pt>
                <c:pt idx="8">
                  <c:v>13.1349506</c:v>
                </c:pt>
                <c:pt idx="9">
                  <c:v>12.6448214</c:v>
                </c:pt>
                <c:pt idx="10">
                  <c:v>12.1498306</c:v>
                </c:pt>
                <c:pt idx="11">
                  <c:v>11.653675399999999</c:v>
                </c:pt>
                <c:pt idx="12">
                  <c:v>11.1600164</c:v>
                </c:pt>
                <c:pt idx="13">
                  <c:v>10.6723649</c:v>
                </c:pt>
                <c:pt idx="14">
                  <c:v>10.193982999999999</c:v>
                </c:pt>
                <c:pt idx="15">
                  <c:v>9.7278004100000004</c:v>
                </c:pt>
                <c:pt idx="16">
                  <c:v>9.2763527900000007</c:v>
                </c:pt>
              </c:numCache>
            </c:numRef>
          </c:val>
          <c:smooth val="0"/>
          <c:extLst>
            <c:ext xmlns:c16="http://schemas.microsoft.com/office/drawing/2014/chart" uri="{C3380CC4-5D6E-409C-BE32-E72D297353CC}">
              <c16:uniqueId val="{00000001-79FD-4FF3-AF14-B7B434C4EC15}"/>
            </c:ext>
          </c:extLst>
        </c:ser>
        <c:ser>
          <c:idx val="1"/>
          <c:order val="1"/>
          <c:tx>
            <c:v>Bond B</c:v>
          </c:tx>
          <c:spPr>
            <a:ln w="19050" cap="rnd">
              <a:solidFill>
                <a:schemeClr val="accent2"/>
              </a:solidFill>
              <a:round/>
            </a:ln>
            <a:effectLst/>
          </c:spPr>
          <c:marker>
            <c:symbol val="circle"/>
            <c:size val="5"/>
            <c:spPr>
              <a:solidFill>
                <a:schemeClr val="accent2"/>
              </a:solidFill>
              <a:ln w="9525">
                <a:solidFill>
                  <a:schemeClr val="accent2"/>
                </a:solidFill>
              </a:ln>
              <a:effectLst/>
            </c:spPr>
          </c:marker>
          <c:cat>
            <c:numRef>
              <c:f>'Part 1'!$A$56:$A$72</c:f>
              <c:numCache>
                <c:formatCode>0%</c:formatCode>
                <c:ptCount val="17"/>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numCache>
            </c:numRef>
          </c:cat>
          <c:val>
            <c:numRef>
              <c:f>'Part 1'!$C$56:$C$72</c:f>
              <c:numCache>
                <c:formatCode>General</c:formatCode>
                <c:ptCount val="17"/>
                <c:pt idx="0">
                  <c:v>4.6720378599999997</c:v>
                </c:pt>
                <c:pt idx="1">
                  <c:v>4.6632547600000001</c:v>
                </c:pt>
                <c:pt idx="2">
                  <c:v>4.6543227800000002</c:v>
                </c:pt>
                <c:pt idx="3">
                  <c:v>4.6452418199999999</c:v>
                </c:pt>
                <c:pt idx="4">
                  <c:v>4.6360118400000001</c:v>
                </c:pt>
                <c:pt idx="5">
                  <c:v>4.6266328799999998</c:v>
                </c:pt>
                <c:pt idx="6">
                  <c:v>4.6171050100000004</c:v>
                </c:pt>
                <c:pt idx="7">
                  <c:v>4.6074284199999997</c:v>
                </c:pt>
                <c:pt idx="8">
                  <c:v>4.59760334</c:v>
                </c:pt>
                <c:pt idx="9">
                  <c:v>4.5876300700000003</c:v>
                </c:pt>
                <c:pt idx="10">
                  <c:v>4.5775089900000001</c:v>
                </c:pt>
                <c:pt idx="11">
                  <c:v>4.5672405500000002</c:v>
                </c:pt>
                <c:pt idx="12">
                  <c:v>4.5568252600000001</c:v>
                </c:pt>
                <c:pt idx="13">
                  <c:v>4.5462637199999998</c:v>
                </c:pt>
                <c:pt idx="14">
                  <c:v>4.5355565799999997</c:v>
                </c:pt>
                <c:pt idx="15">
                  <c:v>4.5247045699999999</c:v>
                </c:pt>
                <c:pt idx="16">
                  <c:v>4.5137084999999999</c:v>
                </c:pt>
              </c:numCache>
            </c:numRef>
          </c:val>
          <c:smooth val="0"/>
          <c:extLst>
            <c:ext xmlns:c16="http://schemas.microsoft.com/office/drawing/2014/chart" uri="{C3380CC4-5D6E-409C-BE32-E72D297353CC}">
              <c16:uniqueId val="{00000003-79FD-4FF3-AF14-B7B434C4EC15}"/>
            </c:ext>
          </c:extLst>
        </c:ser>
        <c:ser>
          <c:idx val="2"/>
          <c:order val="2"/>
          <c:tx>
            <c:v>Bond C</c:v>
          </c:tx>
          <c:spPr>
            <a:ln w="19050" cap="rnd">
              <a:solidFill>
                <a:schemeClr val="accent3"/>
              </a:solidFill>
              <a:round/>
            </a:ln>
            <a:effectLst/>
          </c:spPr>
          <c:marker>
            <c:symbol val="circle"/>
            <c:size val="5"/>
            <c:spPr>
              <a:solidFill>
                <a:schemeClr val="accent3"/>
              </a:solidFill>
              <a:ln w="9525">
                <a:solidFill>
                  <a:schemeClr val="accent3"/>
                </a:solidFill>
              </a:ln>
              <a:effectLst/>
            </c:spPr>
          </c:marker>
          <c:cat>
            <c:numRef>
              <c:f>'Part 1'!$A$56:$A$72</c:f>
              <c:numCache>
                <c:formatCode>0%</c:formatCode>
                <c:ptCount val="17"/>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numCache>
            </c:numRef>
          </c:cat>
          <c:val>
            <c:numRef>
              <c:f>'Part 1'!$D$56:$D$72</c:f>
              <c:numCache>
                <c:formatCode>General</c:formatCode>
                <c:ptCount val="17"/>
                <c:pt idx="0">
                  <c:v>8.6012188500000004</c:v>
                </c:pt>
                <c:pt idx="1">
                  <c:v>8.53099688</c:v>
                </c:pt>
                <c:pt idx="2">
                  <c:v>8.4583586499999992</c:v>
                </c:pt>
                <c:pt idx="3">
                  <c:v>8.3833235800000008</c:v>
                </c:pt>
                <c:pt idx="4">
                  <c:v>8.3059203299999993</c:v>
                </c:pt>
                <c:pt idx="5">
                  <c:v>8.2261870800000008</c:v>
                </c:pt>
                <c:pt idx="6">
                  <c:v>8.1441716100000008</c:v>
                </c:pt>
                <c:pt idx="7">
                  <c:v>8.0599314799999995</c:v>
                </c:pt>
                <c:pt idx="8">
                  <c:v>7.9735339400000003</c:v>
                </c:pt>
                <c:pt idx="9">
                  <c:v>7.8850558700000004</c:v>
                </c:pt>
                <c:pt idx="10">
                  <c:v>7.7945835700000003</c:v>
                </c:pt>
                <c:pt idx="11">
                  <c:v>7.7022125099999998</c:v>
                </c:pt>
                <c:pt idx="12">
                  <c:v>7.6080468799999998</c:v>
                </c:pt>
                <c:pt idx="13">
                  <c:v>7.5121991899999996</c:v>
                </c:pt>
                <c:pt idx="14">
                  <c:v>7.4147896700000002</c:v>
                </c:pt>
                <c:pt idx="15">
                  <c:v>7.3159456</c:v>
                </c:pt>
                <c:pt idx="16">
                  <c:v>7.2158006600000002</c:v>
                </c:pt>
              </c:numCache>
            </c:numRef>
          </c:val>
          <c:smooth val="0"/>
          <c:extLst>
            <c:ext xmlns:c16="http://schemas.microsoft.com/office/drawing/2014/chart" uri="{C3380CC4-5D6E-409C-BE32-E72D297353CC}">
              <c16:uniqueId val="{00000005-79FD-4FF3-AF14-B7B434C4EC15}"/>
            </c:ext>
          </c:extLst>
        </c:ser>
        <c:dLbls>
          <c:showLegendKey val="0"/>
          <c:showVal val="0"/>
          <c:showCatName val="0"/>
          <c:showSerName val="0"/>
          <c:showPercent val="0"/>
          <c:showBubbleSize val="0"/>
        </c:dLbls>
        <c:marker val="1"/>
        <c:smooth val="0"/>
        <c:axId val="1339912"/>
        <c:axId val="1341960"/>
      </c:lineChart>
      <c:catAx>
        <c:axId val="1339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to Maturity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960"/>
        <c:crosses val="autoZero"/>
        <c:auto val="1"/>
        <c:lblAlgn val="ctr"/>
        <c:lblOffset val="100"/>
        <c:noMultiLvlLbl val="0"/>
      </c:catAx>
      <c:valAx>
        <c:axId val="1341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Duration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Coupon vs Duration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Bond A</c:v>
          </c:tx>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'Part 1'!$A$79:$A$99</c:f>
              <c:numCache>
                <c:formatCode>0%</c:formatCode>
                <c:ptCount val="2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numCache>
            </c:numRef>
          </c:cat>
          <c:val>
            <c:numRef>
              <c:f>'Part 1'!$B$79:$B$99</c:f>
              <c:numCache>
                <c:formatCode>General</c:formatCode>
                <c:ptCount val="21"/>
                <c:pt idx="0">
                  <c:v>20</c:v>
                </c:pt>
                <c:pt idx="1">
                  <c:v>17.242464999999999</c:v>
                </c:pt>
                <c:pt idx="2">
                  <c:v>15.582618</c:v>
                </c:pt>
                <c:pt idx="3">
                  <c:v>14.473826000000001</c:v>
                </c:pt>
                <c:pt idx="4">
                  <c:v>13.680737000000001</c:v>
                </c:pt>
                <c:pt idx="5">
                  <c:v>13.085321</c:v>
                </c:pt>
                <c:pt idx="6">
                  <c:v>12.621864</c:v>
                </c:pt>
                <c:pt idx="7">
                  <c:v>12.250874</c:v>
                </c:pt>
                <c:pt idx="8">
                  <c:v>11.947188000000001</c:v>
                </c:pt>
                <c:pt idx="9">
                  <c:v>11.694015</c:v>
                </c:pt>
                <c:pt idx="10">
                  <c:v>11.479718999999999</c:v>
                </c:pt>
                <c:pt idx="11">
                  <c:v>11.295983</c:v>
                </c:pt>
                <c:pt idx="12">
                  <c:v>11.136706</c:v>
                </c:pt>
                <c:pt idx="13">
                  <c:v>10.997309</c:v>
                </c:pt>
                <c:pt idx="14">
                  <c:v>10.874288</c:v>
                </c:pt>
                <c:pt idx="15">
                  <c:v>10.764917000000001</c:v>
                </c:pt>
                <c:pt idx="16">
                  <c:v>10.667045</c:v>
                </c:pt>
                <c:pt idx="17">
                  <c:v>10.578946999999999</c:v>
                </c:pt>
                <c:pt idx="18">
                  <c:v>10.499231</c:v>
                </c:pt>
                <c:pt idx="19">
                  <c:v>10.426753</c:v>
                </c:pt>
                <c:pt idx="20">
                  <c:v>10.360571</c:v>
                </c:pt>
              </c:numCache>
            </c:numRef>
          </c:val>
          <c:smooth val="0"/>
          <c:extLst>
            <c:ext xmlns:c16="http://schemas.microsoft.com/office/drawing/2014/chart" uri="{C3380CC4-5D6E-409C-BE32-E72D297353CC}">
              <c16:uniqueId val="{00000001-EDFF-437D-A98C-28FE4F616BB3}"/>
            </c:ext>
          </c:extLst>
        </c:ser>
        <c:ser>
          <c:idx val="1"/>
          <c:order val="1"/>
          <c:tx>
            <c:v>Bond B</c:v>
          </c:tx>
          <c:spPr>
            <a:ln w="19050" cap="rnd">
              <a:solidFill>
                <a:schemeClr val="accent2"/>
              </a:solidFill>
              <a:round/>
            </a:ln>
            <a:effectLst/>
          </c:spPr>
          <c:marker>
            <c:symbol val="circle"/>
            <c:size val="5"/>
            <c:spPr>
              <a:solidFill>
                <a:schemeClr val="accent2"/>
              </a:solidFill>
              <a:ln w="9525">
                <a:solidFill>
                  <a:schemeClr val="accent2"/>
                </a:solidFill>
              </a:ln>
              <a:effectLst/>
            </c:spPr>
          </c:marker>
          <c:cat>
            <c:numRef>
              <c:f>'Part 1'!$A$79:$A$99</c:f>
              <c:numCache>
                <c:formatCode>0%</c:formatCode>
                <c:ptCount val="2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numCache>
            </c:numRef>
          </c:cat>
          <c:val>
            <c:numRef>
              <c:f>'Part 1'!$C$79:$C$99</c:f>
              <c:numCache>
                <c:formatCode>General</c:formatCode>
                <c:ptCount val="21"/>
                <c:pt idx="0">
                  <c:v>5</c:v>
                </c:pt>
                <c:pt idx="1">
                  <c:v>4.8932117000000002</c:v>
                </c:pt>
                <c:pt idx="2">
                  <c:v>4.7968608000000001</c:v>
                </c:pt>
                <c:pt idx="3">
                  <c:v>4.7094883999999997</c:v>
                </c:pt>
                <c:pt idx="4">
                  <c:v>4.6298952</c:v>
                </c:pt>
                <c:pt idx="5">
                  <c:v>4.5570867000000002</c:v>
                </c:pt>
                <c:pt idx="6">
                  <c:v>4.4902309000000002</c:v>
                </c:pt>
                <c:pt idx="7">
                  <c:v>4.4286263000000003</c:v>
                </c:pt>
                <c:pt idx="8">
                  <c:v>4.3716775999999999</c:v>
                </c:pt>
                <c:pt idx="9">
                  <c:v>4.3188763000000003</c:v>
                </c:pt>
                <c:pt idx="10">
                  <c:v>4.2697852000000003</c:v>
                </c:pt>
                <c:pt idx="11">
                  <c:v>4.2240266000000002</c:v>
                </c:pt>
                <c:pt idx="12">
                  <c:v>4.1812721000000002</c:v>
                </c:pt>
                <c:pt idx="13">
                  <c:v>4.1412354999999996</c:v>
                </c:pt>
                <c:pt idx="14">
                  <c:v>4.1036655</c:v>
                </c:pt>
                <c:pt idx="15">
                  <c:v>4.0683410000000002</c:v>
                </c:pt>
                <c:pt idx="16">
                  <c:v>4.0350663999999998</c:v>
                </c:pt>
                <c:pt idx="17">
                  <c:v>4.0036684999999999</c:v>
                </c:pt>
                <c:pt idx="18">
                  <c:v>3.9739928</c:v>
                </c:pt>
                <c:pt idx="19">
                  <c:v>3.9459013000000001</c:v>
                </c:pt>
                <c:pt idx="20">
                  <c:v>3.9192705999999999</c:v>
                </c:pt>
              </c:numCache>
            </c:numRef>
          </c:val>
          <c:smooth val="0"/>
          <c:extLst>
            <c:ext xmlns:c16="http://schemas.microsoft.com/office/drawing/2014/chart" uri="{C3380CC4-5D6E-409C-BE32-E72D297353CC}">
              <c16:uniqueId val="{00000003-EDFF-437D-A98C-28FE4F616BB3}"/>
            </c:ext>
          </c:extLst>
        </c:ser>
        <c:ser>
          <c:idx val="2"/>
          <c:order val="2"/>
          <c:tx>
            <c:v>Bond C</c:v>
          </c:tx>
          <c:spPr>
            <a:ln w="19050" cap="rnd">
              <a:solidFill>
                <a:schemeClr val="accent3"/>
              </a:solidFill>
              <a:round/>
            </a:ln>
            <a:effectLst/>
          </c:spPr>
          <c:marker>
            <c:symbol val="circle"/>
            <c:size val="5"/>
            <c:spPr>
              <a:solidFill>
                <a:schemeClr val="accent3"/>
              </a:solidFill>
              <a:ln w="9525">
                <a:solidFill>
                  <a:schemeClr val="accent3"/>
                </a:solidFill>
              </a:ln>
              <a:effectLst/>
            </c:spPr>
          </c:marker>
          <c:cat>
            <c:numRef>
              <c:f>'Part 1'!$A$79:$A$99</c:f>
              <c:numCache>
                <c:formatCode>0%</c:formatCode>
                <c:ptCount val="2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numCache>
            </c:numRef>
          </c:cat>
          <c:val>
            <c:numRef>
              <c:f>'Part 1'!$D$79:$D$99</c:f>
              <c:numCache>
                <c:formatCode>General</c:formatCode>
                <c:ptCount val="21"/>
                <c:pt idx="0">
                  <c:v>10</c:v>
                </c:pt>
                <c:pt idx="1">
                  <c:v>9.5121385000000007</c:v>
                </c:pt>
                <c:pt idx="2">
                  <c:v>9.1152700000000006</c:v>
                </c:pt>
                <c:pt idx="3">
                  <c:v>8.7861089000000003</c:v>
                </c:pt>
                <c:pt idx="4">
                  <c:v>8.5086902999999996</c:v>
                </c:pt>
                <c:pt idx="5">
                  <c:v>8.2717027000000005</c:v>
                </c:pt>
                <c:pt idx="6">
                  <c:v>8.0669079000000004</c:v>
                </c:pt>
                <c:pt idx="7">
                  <c:v>7.8881633000000004</c:v>
                </c:pt>
                <c:pt idx="8">
                  <c:v>7.7307958000000001</c:v>
                </c:pt>
                <c:pt idx="9">
                  <c:v>7.5911866999999997</c:v>
                </c:pt>
                <c:pt idx="10">
                  <c:v>7.4664907999999999</c:v>
                </c:pt>
                <c:pt idx="11">
                  <c:v>7.3544394999999998</c:v>
                </c:pt>
                <c:pt idx="12">
                  <c:v>7.2532024000000002</c:v>
                </c:pt>
                <c:pt idx="13">
                  <c:v>7.1612859999999996</c:v>
                </c:pt>
                <c:pt idx="14">
                  <c:v>7.0774597000000004</c:v>
                </c:pt>
                <c:pt idx="15">
                  <c:v>7.0007004999999998</c:v>
                </c:pt>
                <c:pt idx="16">
                  <c:v>6.9301509000000001</c:v>
                </c:pt>
                <c:pt idx="17">
                  <c:v>6.8650865999999997</c:v>
                </c:pt>
                <c:pt idx="18">
                  <c:v>6.8048916999999998</c:v>
                </c:pt>
                <c:pt idx="19">
                  <c:v>6.7490395000000003</c:v>
                </c:pt>
                <c:pt idx="20">
                  <c:v>6.6970763</c:v>
                </c:pt>
              </c:numCache>
            </c:numRef>
          </c:val>
          <c:smooth val="0"/>
          <c:extLst>
            <c:ext xmlns:c16="http://schemas.microsoft.com/office/drawing/2014/chart" uri="{C3380CC4-5D6E-409C-BE32-E72D297353CC}">
              <c16:uniqueId val="{00000005-EDFF-437D-A98C-28FE4F616BB3}"/>
            </c:ext>
          </c:extLst>
        </c:ser>
        <c:dLbls>
          <c:showLegendKey val="0"/>
          <c:showVal val="0"/>
          <c:showCatName val="0"/>
          <c:showSerName val="0"/>
          <c:showPercent val="0"/>
          <c:showBubbleSize val="0"/>
        </c:dLbls>
        <c:marker val="1"/>
        <c:smooth val="0"/>
        <c:axId val="1842952200"/>
        <c:axId val="126906375"/>
      </c:lineChart>
      <c:catAx>
        <c:axId val="1842952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Coupon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6375"/>
        <c:crosses val="autoZero"/>
        <c:auto val="1"/>
        <c:lblAlgn val="ctr"/>
        <c:lblOffset val="100"/>
        <c:noMultiLvlLbl val="0"/>
      </c:catAx>
      <c:valAx>
        <c:axId val="126906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Duration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952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Maturity vs Duration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Bond A</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'Part 1'!$B$106:$B$118</c:f>
              <c:numCache>
                <c:formatCode>General</c:formatCode>
                <c:ptCount val="13"/>
                <c:pt idx="0">
                  <c:v>1</c:v>
                </c:pt>
                <c:pt idx="1">
                  <c:v>4.7454203000000001</c:v>
                </c:pt>
                <c:pt idx="2">
                  <c:v>8.8275836000000005</c:v>
                </c:pt>
                <c:pt idx="3">
                  <c:v>12.230715</c:v>
                </c:pt>
                <c:pt idx="4">
                  <c:v>14.978043</c:v>
                </c:pt>
                <c:pt idx="5">
                  <c:v>17.124345000000002</c:v>
                </c:pt>
                <c:pt idx="6">
                  <c:v>18.745183999999998</c:v>
                </c:pt>
                <c:pt idx="7">
                  <c:v>19.925723999999999</c:v>
                </c:pt>
                <c:pt idx="8">
                  <c:v>20.751242999999999</c:v>
                </c:pt>
                <c:pt idx="9">
                  <c:v>21.300450000000001</c:v>
                </c:pt>
                <c:pt idx="10">
                  <c:v>21.641673000000001</c:v>
                </c:pt>
                <c:pt idx="11">
                  <c:v>21.831434000000002</c:v>
                </c:pt>
                <c:pt idx="12">
                  <c:v>21.914671999999999</c:v>
                </c:pt>
              </c:numCache>
            </c:numRef>
          </c:val>
          <c:smooth val="0"/>
          <c:extLst>
            <c:ext xmlns:c16="http://schemas.microsoft.com/office/drawing/2014/chart" uri="{C3380CC4-5D6E-409C-BE32-E72D297353CC}">
              <c16:uniqueId val="{0000000A-F90E-4E34-ADE4-04820147DBE7}"/>
            </c:ext>
          </c:extLst>
        </c:ser>
        <c:ser>
          <c:idx val="1"/>
          <c:order val="1"/>
          <c:tx>
            <c:v>Bond B</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'Part 1'!$C$106:$C$118</c:f>
              <c:numCache>
                <c:formatCode>General</c:formatCode>
                <c:ptCount val="13"/>
                <c:pt idx="0">
                  <c:v>1</c:v>
                </c:pt>
                <c:pt idx="1">
                  <c:v>4.6452419999999996</c:v>
                </c:pt>
                <c:pt idx="2">
                  <c:v>8.4890550000000005</c:v>
                </c:pt>
                <c:pt idx="3">
                  <c:v>11.66071</c:v>
                </c:pt>
                <c:pt idx="4">
                  <c:v>14.27154</c:v>
                </c:pt>
                <c:pt idx="5">
                  <c:v>16.416429999999998</c:v>
                </c:pt>
                <c:pt idx="6">
                  <c:v>18.17559</c:v>
                </c:pt>
                <c:pt idx="7">
                  <c:v>19.616379999999999</c:v>
                </c:pt>
                <c:pt idx="8">
                  <c:v>20.795020000000001</c:v>
                </c:pt>
                <c:pt idx="9">
                  <c:v>21.75826</c:v>
                </c:pt>
                <c:pt idx="10">
                  <c:v>22.544799999999999</c:v>
                </c:pt>
                <c:pt idx="11">
                  <c:v>23.186610000000002</c:v>
                </c:pt>
                <c:pt idx="12">
                  <c:v>23.709990000000001</c:v>
                </c:pt>
              </c:numCache>
            </c:numRef>
          </c:val>
          <c:smooth val="0"/>
          <c:extLst>
            <c:ext xmlns:c16="http://schemas.microsoft.com/office/drawing/2014/chart" uri="{C3380CC4-5D6E-409C-BE32-E72D297353CC}">
              <c16:uniqueId val="{0000000C-F90E-4E34-ADE4-04820147DBE7}"/>
            </c:ext>
          </c:extLst>
        </c:ser>
        <c:ser>
          <c:idx val="2"/>
          <c:order val="2"/>
          <c:tx>
            <c:v>Bond C</c:v>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'Part 1'!$D$106:$D$118</c:f>
              <c:numCache>
                <c:formatCode>General</c:formatCode>
                <c:ptCount val="13"/>
                <c:pt idx="0">
                  <c:v>1</c:v>
                </c:pt>
                <c:pt idx="1">
                  <c:v>4.6245700000000003</c:v>
                </c:pt>
                <c:pt idx="2">
                  <c:v>8.4583589999999997</c:v>
                </c:pt>
                <c:pt idx="3">
                  <c:v>11.688840000000001</c:v>
                </c:pt>
                <c:pt idx="4">
                  <c:v>14.445040000000001</c:v>
                </c:pt>
                <c:pt idx="5">
                  <c:v>16.819199999999999</c:v>
                </c:pt>
                <c:pt idx="6">
                  <c:v>18.879449999999999</c:v>
                </c:pt>
                <c:pt idx="7">
                  <c:v>20.67756</c:v>
                </c:pt>
                <c:pt idx="8">
                  <c:v>22.253869999999999</c:v>
                </c:pt>
                <c:pt idx="9">
                  <c:v>23.64048</c:v>
                </c:pt>
                <c:pt idx="10">
                  <c:v>24.863420000000001</c:v>
                </c:pt>
                <c:pt idx="11">
                  <c:v>25.94416</c:v>
                </c:pt>
                <c:pt idx="12">
                  <c:v>26.900670000000002</c:v>
                </c:pt>
              </c:numCache>
            </c:numRef>
          </c:val>
          <c:smooth val="0"/>
          <c:extLst>
            <c:ext xmlns:c16="http://schemas.microsoft.com/office/drawing/2014/chart" uri="{C3380CC4-5D6E-409C-BE32-E72D297353CC}">
              <c16:uniqueId val="{0000000E-F90E-4E34-ADE4-04820147DBE7}"/>
            </c:ext>
          </c:extLst>
        </c:ser>
        <c:dLbls>
          <c:showLegendKey val="0"/>
          <c:showVal val="0"/>
          <c:showCatName val="0"/>
          <c:showSerName val="0"/>
          <c:showPercent val="0"/>
          <c:showBubbleSize val="0"/>
        </c:dLbls>
        <c:marker val="1"/>
        <c:smooth val="0"/>
        <c:axId val="636940808"/>
        <c:axId val="636942856"/>
      </c:lineChart>
      <c:catAx>
        <c:axId val="636940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Bond Maturity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42856"/>
        <c:crosses val="autoZero"/>
        <c:auto val="1"/>
        <c:lblAlgn val="ctr"/>
        <c:lblOffset val="100"/>
        <c:noMultiLvlLbl val="0"/>
      </c:catAx>
      <c:valAx>
        <c:axId val="636942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Duration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4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Efficient Frontier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'Part 2b'!$J$64</c:f>
              <c:strCache>
                <c:ptCount val="1"/>
                <c:pt idx="0">
                  <c:v>Portfolio Expected Return</c:v>
                </c:pt>
              </c:strCache>
            </c:strRef>
          </c:tx>
          <c:spPr>
            <a:ln w="19050" cap="rnd">
              <a:solidFill>
                <a:srgbClr val="0070C0"/>
              </a:solidFill>
              <a:prstDash val="solid"/>
              <a:round/>
            </a:ln>
            <a:effectLst/>
          </c:spPr>
          <c:marker>
            <c:symbol val="none"/>
          </c:marker>
          <c:dPt>
            <c:idx val="8"/>
            <c:marker>
              <c:symbol val="none"/>
            </c:marker>
            <c:bubble3D val="0"/>
            <c:extLst>
              <c:ext xmlns:c16="http://schemas.microsoft.com/office/drawing/2014/chart" uri="{C3380CC4-5D6E-409C-BE32-E72D297353CC}">
                <c16:uniqueId val="{00000000-C2A4-4473-A1D0-B56E80498C4A}"/>
              </c:ext>
            </c:extLst>
          </c:dPt>
          <c:dPt>
            <c:idx val="9"/>
            <c:marker>
              <c:symbol val="circle"/>
              <c:size val="5"/>
              <c:spPr>
                <a:solidFill>
                  <a:srgbClr val="C00000"/>
                </a:solidFill>
                <a:ln w="9525">
                  <a:solidFill>
                    <a:schemeClr val="accent1"/>
                  </a:solidFill>
                </a:ln>
                <a:effectLst/>
              </c:spPr>
            </c:marker>
            <c:bubble3D val="0"/>
            <c:spPr>
              <a:ln w="28575" cap="rnd">
                <a:solidFill>
                  <a:srgbClr val="0070C0"/>
                </a:solidFill>
                <a:prstDash val="solid"/>
                <a:round/>
              </a:ln>
              <a:effectLst/>
            </c:spPr>
            <c:extLst>
              <c:ext xmlns:c16="http://schemas.microsoft.com/office/drawing/2014/chart" uri="{C3380CC4-5D6E-409C-BE32-E72D297353CC}">
                <c16:uniqueId val="{00000001-AE32-AA44-BADD-A8417D97DADD}"/>
              </c:ext>
            </c:extLst>
          </c:dPt>
          <c:xVal>
            <c:numRef>
              <c:f>('Part 2b'!$I$65:$I$82,'Part 2b'!$J$65:$J$82,'Part 2b'!$I$65:$I$82,'Part 2b'!$J$65:$J$82)</c:f>
              <c:numCache>
                <c:formatCode>0.0000</c:formatCode>
                <c:ptCount val="72"/>
                <c:pt idx="0">
                  <c:v>0.22669482901856564</c:v>
                </c:pt>
                <c:pt idx="1">
                  <c:v>0.19366112470245209</c:v>
                </c:pt>
                <c:pt idx="2">
                  <c:v>0.16119246599394094</c:v>
                </c:pt>
                <c:pt idx="3">
                  <c:v>0.13589704478945314</c:v>
                </c:pt>
                <c:pt idx="4">
                  <c:v>0.11165191772181442</c:v>
                </c:pt>
                <c:pt idx="5">
                  <c:v>8.9316532280224348E-2</c:v>
                </c:pt>
                <c:pt idx="6">
                  <c:v>7.0723994551518801E-2</c:v>
                </c:pt>
                <c:pt idx="7">
                  <c:v>5.9493462928590125E-2</c:v>
                </c:pt>
                <c:pt idx="8">
                  <c:v>5.8397763041115783E-2</c:v>
                </c:pt>
                <c:pt idx="9">
                  <c:v>5.8093428776207913E-2</c:v>
                </c:pt>
                <c:pt idx="10">
                  <c:v>5.861456491981426E-2</c:v>
                </c:pt>
                <c:pt idx="11">
                  <c:v>5.9918353751593968E-2</c:v>
                </c:pt>
                <c:pt idx="12">
                  <c:v>7.1792021565910386E-2</c:v>
                </c:pt>
                <c:pt idx="13">
                  <c:v>9.0725563453155203E-2</c:v>
                </c:pt>
                <c:pt idx="14">
                  <c:v>0.11323122195939687</c:v>
                </c:pt>
                <c:pt idx="15">
                  <c:v>0.13756685519447359</c:v>
                </c:pt>
                <c:pt idx="16">
                  <c:v>0.16291444972417179</c:v>
                </c:pt>
                <c:pt idx="17">
                  <c:v>0.18886700206472143</c:v>
                </c:pt>
                <c:pt idx="18" formatCode="0.000%">
                  <c:v>0.10245567630510041</c:v>
                </c:pt>
                <c:pt idx="19" formatCode="0.000%">
                  <c:v>8.8932208822195616E-2</c:v>
                </c:pt>
                <c:pt idx="20" formatCode="0.000%">
                  <c:v>7.5408741339290805E-2</c:v>
                </c:pt>
                <c:pt idx="21" formatCode="0.000%">
                  <c:v>6.4589967352966973E-2</c:v>
                </c:pt>
                <c:pt idx="22" formatCode="0.000%">
                  <c:v>5.3771193366643141E-2</c:v>
                </c:pt>
                <c:pt idx="23" formatCode="0.000%">
                  <c:v>4.2952419380319302E-2</c:v>
                </c:pt>
                <c:pt idx="24" formatCode="0.000%">
                  <c:v>3.2133645393995457E-2</c:v>
                </c:pt>
                <c:pt idx="25" formatCode="0.000%">
                  <c:v>2.1314871407671625E-2</c:v>
                </c:pt>
                <c:pt idx="26" formatCode="0.000%">
                  <c:v>1.8610177911090667E-2</c:v>
                </c:pt>
                <c:pt idx="27" formatCode="0.000%">
                  <c:v>1.6268245942239738E-2</c:v>
                </c:pt>
                <c:pt idx="28" formatCode="0.000%">
                  <c:v>1.3200790917928744E-2</c:v>
                </c:pt>
                <c:pt idx="29" formatCode="0.000%">
                  <c:v>1.0496097421347786E-2</c:v>
                </c:pt>
                <c:pt idx="30" formatCode="0.000%">
                  <c:v>-3.2267656497605036E-4</c:v>
                </c:pt>
                <c:pt idx="31" formatCode="0.000%">
                  <c:v>-1.1141450551299888E-2</c:v>
                </c:pt>
                <c:pt idx="32" formatCode="0.000%">
                  <c:v>-2.1960224537623724E-2</c:v>
                </c:pt>
                <c:pt idx="33" formatCode="0.000%">
                  <c:v>-3.2778998523947563E-2</c:v>
                </c:pt>
                <c:pt idx="34" formatCode="0.000%">
                  <c:v>-4.3597772510271394E-2</c:v>
                </c:pt>
                <c:pt idx="35" formatCode="0.000%">
                  <c:v>-5.441654649659524E-2</c:v>
                </c:pt>
                <c:pt idx="36">
                  <c:v>0.22669482901856564</c:v>
                </c:pt>
                <c:pt idx="37">
                  <c:v>0.19366112470245209</c:v>
                </c:pt>
                <c:pt idx="38">
                  <c:v>0.16119246599394094</c:v>
                </c:pt>
                <c:pt idx="39">
                  <c:v>0.13589704478945314</c:v>
                </c:pt>
                <c:pt idx="40">
                  <c:v>0.11165191772181442</c:v>
                </c:pt>
                <c:pt idx="41">
                  <c:v>8.9316532280224348E-2</c:v>
                </c:pt>
                <c:pt idx="42">
                  <c:v>7.0723994551518801E-2</c:v>
                </c:pt>
                <c:pt idx="43">
                  <c:v>5.9493462928590125E-2</c:v>
                </c:pt>
                <c:pt idx="44">
                  <c:v>5.8397763041115783E-2</c:v>
                </c:pt>
                <c:pt idx="45">
                  <c:v>5.8093428776207913E-2</c:v>
                </c:pt>
                <c:pt idx="46">
                  <c:v>5.861456491981426E-2</c:v>
                </c:pt>
                <c:pt idx="47">
                  <c:v>5.9918353751593968E-2</c:v>
                </c:pt>
                <c:pt idx="48">
                  <c:v>7.1792021565910386E-2</c:v>
                </c:pt>
                <c:pt idx="49">
                  <c:v>9.0725563453155203E-2</c:v>
                </c:pt>
                <c:pt idx="50">
                  <c:v>0.11323122195939687</c:v>
                </c:pt>
                <c:pt idx="51">
                  <c:v>0.13756685519447359</c:v>
                </c:pt>
                <c:pt idx="52">
                  <c:v>0.16291444972417179</c:v>
                </c:pt>
                <c:pt idx="53">
                  <c:v>0.18886700206472143</c:v>
                </c:pt>
                <c:pt idx="54" formatCode="0.000%">
                  <c:v>0.10245567630510041</c:v>
                </c:pt>
                <c:pt idx="55" formatCode="0.000%">
                  <c:v>8.8932208822195616E-2</c:v>
                </c:pt>
                <c:pt idx="56" formatCode="0.000%">
                  <c:v>7.5408741339290805E-2</c:v>
                </c:pt>
                <c:pt idx="57" formatCode="0.000%">
                  <c:v>6.4589967352966973E-2</c:v>
                </c:pt>
                <c:pt idx="58" formatCode="0.000%">
                  <c:v>5.3771193366643141E-2</c:v>
                </c:pt>
                <c:pt idx="59" formatCode="0.000%">
                  <c:v>4.2952419380319302E-2</c:v>
                </c:pt>
                <c:pt idx="60" formatCode="0.000%">
                  <c:v>3.2133645393995457E-2</c:v>
                </c:pt>
                <c:pt idx="61" formatCode="0.000%">
                  <c:v>2.1314871407671625E-2</c:v>
                </c:pt>
                <c:pt idx="62" formatCode="0.000%">
                  <c:v>1.8610177911090667E-2</c:v>
                </c:pt>
                <c:pt idx="63" formatCode="0.000%">
                  <c:v>1.6268245942239738E-2</c:v>
                </c:pt>
                <c:pt idx="64" formatCode="0.000%">
                  <c:v>1.3200790917928744E-2</c:v>
                </c:pt>
                <c:pt idx="65" formatCode="0.000%">
                  <c:v>1.0496097421347786E-2</c:v>
                </c:pt>
                <c:pt idx="66" formatCode="0.000%">
                  <c:v>-3.2267656497605036E-4</c:v>
                </c:pt>
                <c:pt idx="67" formatCode="0.000%">
                  <c:v>-1.1141450551299888E-2</c:v>
                </c:pt>
                <c:pt idx="68" formatCode="0.000%">
                  <c:v>-2.1960224537623724E-2</c:v>
                </c:pt>
                <c:pt idx="69" formatCode="0.000%">
                  <c:v>-3.2778998523947563E-2</c:v>
                </c:pt>
                <c:pt idx="70" formatCode="0.000%">
                  <c:v>-4.3597772510271394E-2</c:v>
                </c:pt>
                <c:pt idx="71" formatCode="0.000%">
                  <c:v>-5.441654649659524E-2</c:v>
                </c:pt>
              </c:numCache>
            </c:numRef>
          </c:xVal>
          <c:yVal>
            <c:numRef>
              <c:f>'Part 2b'!$J$65:$J$82</c:f>
              <c:numCache>
                <c:formatCode>0.000%</c:formatCode>
                <c:ptCount val="18"/>
                <c:pt idx="0">
                  <c:v>0.10245567630510041</c:v>
                </c:pt>
                <c:pt idx="1">
                  <c:v>8.8932208822195616E-2</c:v>
                </c:pt>
                <c:pt idx="2">
                  <c:v>7.5408741339290805E-2</c:v>
                </c:pt>
                <c:pt idx="3">
                  <c:v>6.4589967352966973E-2</c:v>
                </c:pt>
                <c:pt idx="4">
                  <c:v>5.3771193366643141E-2</c:v>
                </c:pt>
                <c:pt idx="5">
                  <c:v>4.2952419380319302E-2</c:v>
                </c:pt>
                <c:pt idx="6">
                  <c:v>3.2133645393995457E-2</c:v>
                </c:pt>
                <c:pt idx="7">
                  <c:v>2.1314871407671625E-2</c:v>
                </c:pt>
                <c:pt idx="8">
                  <c:v>1.8610177911090667E-2</c:v>
                </c:pt>
                <c:pt idx="9">
                  <c:v>1.6268245942239738E-2</c:v>
                </c:pt>
                <c:pt idx="10">
                  <c:v>1.3200790917928744E-2</c:v>
                </c:pt>
                <c:pt idx="11">
                  <c:v>1.0496097421347786E-2</c:v>
                </c:pt>
                <c:pt idx="12">
                  <c:v>-3.2267656497605036E-4</c:v>
                </c:pt>
                <c:pt idx="13">
                  <c:v>-1.1141450551299888E-2</c:v>
                </c:pt>
                <c:pt idx="14">
                  <c:v>-2.1960224537623724E-2</c:v>
                </c:pt>
                <c:pt idx="15">
                  <c:v>-3.2778998523947563E-2</c:v>
                </c:pt>
                <c:pt idx="16">
                  <c:v>-4.3597772510271394E-2</c:v>
                </c:pt>
                <c:pt idx="17">
                  <c:v>-5.441654649659524E-2</c:v>
                </c:pt>
              </c:numCache>
            </c:numRef>
          </c:yVal>
          <c:smooth val="0"/>
          <c:extLst>
            <c:ext xmlns:c16="http://schemas.microsoft.com/office/drawing/2014/chart" uri="{C3380CC4-5D6E-409C-BE32-E72D297353CC}">
              <c16:uniqueId val="{00000002-5D00-4AF8-B86B-BDD43DE0A58B}"/>
            </c:ext>
          </c:extLst>
        </c:ser>
        <c:ser>
          <c:idx val="1"/>
          <c:order val="1"/>
          <c:tx>
            <c:v>CML</c:v>
          </c:tx>
          <c:spPr>
            <a:ln w="19050" cap="rnd">
              <a:solidFill>
                <a:schemeClr val="accent2"/>
              </a:solidFill>
              <a:round/>
            </a:ln>
            <a:effectLst/>
          </c:spPr>
          <c:marker>
            <c:symbol val="none"/>
          </c:marker>
          <c:xVal>
            <c:numRef>
              <c:f>'Part 2b'!$I$102:$I$103</c:f>
              <c:numCache>
                <c:formatCode>0.00000</c:formatCode>
                <c:ptCount val="2"/>
                <c:pt idx="0">
                  <c:v>0</c:v>
                </c:pt>
                <c:pt idx="1">
                  <c:v>0.2361517312999922</c:v>
                </c:pt>
              </c:numCache>
            </c:numRef>
          </c:xVal>
          <c:yVal>
            <c:numRef>
              <c:f>'Part 2b'!$J$102:$J$103</c:f>
              <c:numCache>
                <c:formatCode>0.000%</c:formatCode>
                <c:ptCount val="2"/>
                <c:pt idx="0">
                  <c:v>4.1399999999999999E-2</c:v>
                </c:pt>
                <c:pt idx="1">
                  <c:v>0.10506044856664673</c:v>
                </c:pt>
              </c:numCache>
            </c:numRef>
          </c:yVal>
          <c:smooth val="0"/>
          <c:extLst>
            <c:ext xmlns:c16="http://schemas.microsoft.com/office/drawing/2014/chart" uri="{C3380CC4-5D6E-409C-BE32-E72D297353CC}">
              <c16:uniqueId val="{00000002-AE32-AA44-BADD-A8417D97DADD}"/>
            </c:ext>
          </c:extLst>
        </c:ser>
        <c:dLbls>
          <c:showLegendKey val="0"/>
          <c:showVal val="0"/>
          <c:showCatName val="0"/>
          <c:showSerName val="0"/>
          <c:showPercent val="0"/>
          <c:showBubbleSize val="0"/>
        </c:dLbls>
        <c:axId val="1681432583"/>
        <c:axId val="1681434631"/>
      </c:scatterChart>
      <c:valAx>
        <c:axId val="16814325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Portfolio Standard Deviation</a:t>
                </a:r>
              </a:p>
            </c:rich>
          </c:tx>
          <c:layout>
            <c:manualLayout>
              <c:xMode val="edge"/>
              <c:yMode val="edge"/>
              <c:x val="0.50987054827118172"/>
              <c:y val="0.9452035442353902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434631"/>
        <c:crosses val="autoZero"/>
        <c:crossBetween val="midCat"/>
      </c:valAx>
      <c:valAx>
        <c:axId val="1681434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Portfolio Expected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43258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38100</xdr:colOff>
      <xdr:row>55</xdr:row>
      <xdr:rowOff>28575</xdr:rowOff>
    </xdr:from>
    <xdr:to>
      <xdr:col>13</xdr:col>
      <xdr:colOff>142875</xdr:colOff>
      <xdr:row>74</xdr:row>
      <xdr:rowOff>95250</xdr:rowOff>
    </xdr:to>
    <xdr:graphicFrame macro="">
      <xdr:nvGraphicFramePr>
        <xdr:cNvPr id="2" name="Chart 1">
          <a:extLst>
            <a:ext uri="{FF2B5EF4-FFF2-40B4-BE49-F238E27FC236}">
              <a16:creationId xmlns:a16="http://schemas.microsoft.com/office/drawing/2014/main" id="{B66FCE3E-A2C6-5827-5368-EE4AA9F023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361950</xdr:colOff>
      <xdr:row>77</xdr:row>
      <xdr:rowOff>104775</xdr:rowOff>
    </xdr:from>
    <xdr:to>
      <xdr:col>13</xdr:col>
      <xdr:colOff>381000</xdr:colOff>
      <xdr:row>100</xdr:row>
      <xdr:rowOff>9525</xdr:rowOff>
    </xdr:to>
    <xdr:graphicFrame macro="">
      <xdr:nvGraphicFramePr>
        <xdr:cNvPr id="4" name="Chart 3">
          <a:extLst>
            <a:ext uri="{FF2B5EF4-FFF2-40B4-BE49-F238E27FC236}">
              <a16:creationId xmlns:a16="http://schemas.microsoft.com/office/drawing/2014/main" id="{25078953-E310-69A3-AF85-0B1B2980EB15}"/>
            </a:ext>
            <a:ext uri="{147F2762-F138-4A5C-976F-8EAC2B608ADB}">
              <a16:predDERef xmlns:a16="http://schemas.microsoft.com/office/drawing/2014/main" pred="{B66FCE3E-A2C6-5827-5368-EE4AA9F023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xdr:colOff>
      <xdr:row>104</xdr:row>
      <xdr:rowOff>9525</xdr:rowOff>
    </xdr:from>
    <xdr:to>
      <xdr:col>13</xdr:col>
      <xdr:colOff>276225</xdr:colOff>
      <xdr:row>125</xdr:row>
      <xdr:rowOff>28575</xdr:rowOff>
    </xdr:to>
    <xdr:graphicFrame macro="">
      <xdr:nvGraphicFramePr>
        <xdr:cNvPr id="5" name="Chart 4">
          <a:extLst>
            <a:ext uri="{FF2B5EF4-FFF2-40B4-BE49-F238E27FC236}">
              <a16:creationId xmlns:a16="http://schemas.microsoft.com/office/drawing/2014/main" id="{A66845CB-E86C-4649-97A7-C1320EFCD846}"/>
            </a:ext>
            <a:ext uri="{147F2762-F138-4A5C-976F-8EAC2B608ADB}">
              <a16:predDERef xmlns:a16="http://schemas.microsoft.com/office/drawing/2014/main" pred="{25078953-E310-69A3-AF85-0B1B2980EB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152400</xdr:colOff>
      <xdr:row>126</xdr:row>
      <xdr:rowOff>123825</xdr:rowOff>
    </xdr:from>
    <xdr:to>
      <xdr:col>12</xdr:col>
      <xdr:colOff>152400</xdr:colOff>
      <xdr:row>144</xdr:row>
      <xdr:rowOff>133350</xdr:rowOff>
    </xdr:to>
    <xdr:pic>
      <xdr:nvPicPr>
        <xdr:cNvPr id="6" name="Picture 5">
          <a:extLst>
            <a:ext uri="{FF2B5EF4-FFF2-40B4-BE49-F238E27FC236}">
              <a16:creationId xmlns:a16="http://schemas.microsoft.com/office/drawing/2014/main" id="{FB7D2122-5C44-E9CC-60BC-32DEA2D55AC1}"/>
            </a:ext>
            <a:ext uri="{147F2762-F138-4A5C-976F-8EAC2B608ADB}">
              <a16:predDERef xmlns:a16="http://schemas.microsoft.com/office/drawing/2014/main" pred="{A66845CB-E86C-4649-97A7-C1320EFCD846}"/>
            </a:ext>
          </a:extLst>
        </xdr:cNvPr>
        <xdr:cNvPicPr>
          <a:picLocks noChangeAspect="1"/>
        </xdr:cNvPicPr>
      </xdr:nvPicPr>
      <xdr:blipFill>
        <a:blip xmlns:r="http://schemas.openxmlformats.org/officeDocument/2006/relationships" r:embed="rId4"/>
        <a:stretch>
          <a:fillRect/>
        </a:stretch>
      </xdr:blipFill>
      <xdr:spPr>
        <a:xfrm>
          <a:off x="4943475" y="20564475"/>
          <a:ext cx="4562475" cy="2924175"/>
        </a:xfrm>
        <a:prstGeom prst="rect">
          <a:avLst/>
        </a:prstGeom>
      </xdr:spPr>
    </xdr:pic>
    <xdr:clientData/>
  </xdr:twoCellAnchor>
  <xdr:twoCellAnchor editAs="oneCell">
    <xdr:from>
      <xdr:col>6</xdr:col>
      <xdr:colOff>0</xdr:colOff>
      <xdr:row>153</xdr:row>
      <xdr:rowOff>0</xdr:rowOff>
    </xdr:from>
    <xdr:to>
      <xdr:col>13</xdr:col>
      <xdr:colOff>28575</xdr:colOff>
      <xdr:row>167</xdr:row>
      <xdr:rowOff>38100</xdr:rowOff>
    </xdr:to>
    <xdr:pic>
      <xdr:nvPicPr>
        <xdr:cNvPr id="7" name="Picture 6">
          <a:extLst>
            <a:ext uri="{FF2B5EF4-FFF2-40B4-BE49-F238E27FC236}">
              <a16:creationId xmlns:a16="http://schemas.microsoft.com/office/drawing/2014/main" id="{F85AE4B9-046F-36E7-E50E-190287C8AE83}"/>
            </a:ext>
            <a:ext uri="{147F2762-F138-4A5C-976F-8EAC2B608ADB}">
              <a16:predDERef xmlns:a16="http://schemas.microsoft.com/office/drawing/2014/main" pred="{FB7D2122-5C44-E9CC-60BC-32DEA2D55AC1}"/>
            </a:ext>
          </a:extLst>
        </xdr:cNvPr>
        <xdr:cNvPicPr>
          <a:picLocks noChangeAspect="1"/>
        </xdr:cNvPicPr>
      </xdr:nvPicPr>
      <xdr:blipFill>
        <a:blip xmlns:r="http://schemas.openxmlformats.org/officeDocument/2006/relationships" r:embed="rId5"/>
        <a:stretch>
          <a:fillRect/>
        </a:stretch>
      </xdr:blipFill>
      <xdr:spPr>
        <a:xfrm>
          <a:off x="5400675" y="24879300"/>
          <a:ext cx="4572000" cy="2305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419100</xdr:colOff>
      <xdr:row>82</xdr:row>
      <xdr:rowOff>95250</xdr:rowOff>
    </xdr:from>
    <xdr:to>
      <xdr:col>11</xdr:col>
      <xdr:colOff>38100</xdr:colOff>
      <xdr:row>98</xdr:row>
      <xdr:rowOff>146050</xdr:rowOff>
    </xdr:to>
    <xdr:pic>
      <xdr:nvPicPr>
        <xdr:cNvPr id="5" name="Picture 1">
          <a:extLst>
            <a:ext uri="{FF2B5EF4-FFF2-40B4-BE49-F238E27FC236}">
              <a16:creationId xmlns:a16="http://schemas.microsoft.com/office/drawing/2014/main" id="{6663B85F-C3A0-9C75-A584-12CF8D574E73}"/>
            </a:ext>
          </a:extLst>
        </xdr:cNvPr>
        <xdr:cNvPicPr>
          <a:picLocks noChangeAspect="1"/>
        </xdr:cNvPicPr>
      </xdr:nvPicPr>
      <xdr:blipFill>
        <a:blip xmlns:r="http://schemas.openxmlformats.org/officeDocument/2006/relationships" r:embed="rId1"/>
        <a:stretch>
          <a:fillRect/>
        </a:stretch>
      </xdr:blipFill>
      <xdr:spPr>
        <a:xfrm>
          <a:off x="3524250" y="6781800"/>
          <a:ext cx="5410200" cy="2895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603249</xdr:colOff>
      <xdr:row>88</xdr:row>
      <xdr:rowOff>186266</xdr:rowOff>
    </xdr:from>
    <xdr:to>
      <xdr:col>20</xdr:col>
      <xdr:colOff>838200</xdr:colOff>
      <xdr:row>124</xdr:row>
      <xdr:rowOff>105833</xdr:rowOff>
    </xdr:to>
    <xdr:graphicFrame macro="">
      <xdr:nvGraphicFramePr>
        <xdr:cNvPr id="3" name="Chart 2" descr="Chart type: Scatter. 'Mean return'&#10;&#10;Description automatically generated">
          <a:extLst>
            <a:ext uri="{FF2B5EF4-FFF2-40B4-BE49-F238E27FC236}">
              <a16:creationId xmlns:a16="http://schemas.microsoft.com/office/drawing/2014/main" id="{6C3628FE-2DCF-7CC4-EA77-91AD2E95C9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420.82</v>
    <v>245.73</v>
    <v>0.89139999999999997</v>
    <v>10.76</v>
    <v>-7.7059999999999997E-5</v>
    <v>2.6598999999999998E-2</v>
    <v>-3.2000000000000001E-2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221000</v>
    <v>Nasdaq Stock Market</v>
    <v>XNAS</v>
    <v>XNAS</v>
    <v>One Microsoft Way, REDMOND, WA, 98052-6399 US</v>
    <v>415.57</v>
    <v>3</v>
    <v>Software &amp; IT Services</v>
    <v>Stock</v>
    <v>45363.860430682813</v>
    <v>4</v>
    <v>406.79</v>
    <v>3085711462080</v>
    <v>MICROSOFT CORPORATION</v>
    <v>MICROSOFT CORPORATION</v>
    <v>407.62</v>
    <v>36.584800000000001</v>
    <v>404.52</v>
    <v>415.28</v>
    <v>415.24799999999999</v>
    <v>7430436000</v>
    <v>MSFT</v>
    <v>MICROSOFT CORPORATION (XNAS:MSFT)</v>
    <v>21566511</v>
    <v>20912528</v>
    <v>1993</v>
  </rv>
  <rv s="4">
    <v>5</v>
  </rv>
  <rv s="0">
    <v>https://www.bing.com/financeapi/forcetrigger?t=a1mou2&amp;q=XNAS%3aAAPL&amp;form=skydnc</v>
    <v>Learn more on Bing</v>
  </rv>
  <rv s="5">
    <v>en-US</v>
    <v>a1mou2</v>
    <v>268435456</v>
    <v>1</v>
    <v>Powered by Refinitiv</v>
    <v>7</v>
    <v>APPLE INC. (XNAS:AAPL)</v>
    <v>8</v>
    <v>9</v>
    <v>Finance</v>
    <v>5</v>
    <v>199.62</v>
    <v>147.69999999999999</v>
    <v>1.2892999999999999</v>
    <v>0.48</v>
    <v>-4.0410000000000001E-4</v>
    <v>2.7789999999999998E-3</v>
    <v>-7.0000000000000007E-2</v>
    <v>USD</v>
    <v>Apple Inc. designs, manufactures and markets smartphones, personal computers, tablets, wearables and accessories, and sells a variety of related services. The Company's product categories include iPhone, Mac, iPad, and Wearables, Home and Accessories. Its software platforms include iOS, iPadOS, macOS, watchOS and tvOS. Its services include advertising, AppleCare, cloud services, digital content and payment services. It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The Company's products include iPhone 15 Pro, iPhone 15, iPhone 14, iPhone 13, MacBook Air, MacBook Pro, iMac, Mac mini, Mac Studio, Mac Pro, iPad Pro, iPad Air, iPad, iPad mini, Apple Watch Series 9, AirPods, AirPods Pro, AirPods Max and HomePod.</v>
    <v>161000</v>
    <v>Nasdaq Stock Market</v>
    <v>XNAS</v>
    <v>XNAS</v>
    <v>One Apple Park Way, CUPERTINO, CA, 95014 US</v>
    <v>174.03</v>
    <v>Computers, Phones &amp; Household Electronics</v>
    <v>Stock</v>
    <v>45363.860459270312</v>
    <v>7</v>
    <v>171.01</v>
    <v>2674996872400</v>
    <v>APPLE INC.</v>
    <v>APPLE INC.</v>
    <v>173.15</v>
    <v>26.879000000000001</v>
    <v>172.75</v>
    <v>173.23</v>
    <v>173.16</v>
    <v>15441880000</v>
    <v>AAPL</v>
    <v>APPLE INC. (XNAS:AAPL)</v>
    <v>59521427</v>
    <v>60849579</v>
    <v>1977</v>
  </rv>
  <rv s="4">
    <v>8</v>
  </rv>
</rvData>
</file>

<file path=xl/richData/rdrichvaluestructure.xml><?xml version="1.0" encoding="utf-8"?>
<rvStructures xmlns="http://schemas.microsoft.com/office/spreadsheetml/2017/richdata" count="6">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0">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 s="0">
      <v>1</v>
      <v>Name</v>
      <v>LearnMoreOnLink</v>
    </spb>
    <spb s="7">
      <v>2</v>
      <v>2</v>
      <v>2</v>
      <v>2</v>
    </spb>
    <spb s="8">
      <v>1</v>
      <v>2</v>
      <v>2</v>
      <v>1</v>
      <v>3</v>
      <v>1</v>
      <v>1</v>
      <v>1</v>
      <v>5</v>
      <v>5</v>
      <v>6</v>
      <v>7</v>
      <v>1</v>
      <v>1</v>
      <v>1</v>
      <v>5</v>
      <v>8</v>
      <v>9</v>
      <v>10</v>
      <v>5</v>
      <v>1</v>
      <v>1</v>
      <v>6</v>
    </spb>
  </spbData>
</supportingPropertyBags>
</file>

<file path=xl/richData/rdsupportingpropertybagstructure.xml><?xml version="1.0" encoding="utf-8"?>
<spbStructures xmlns="http://schemas.microsoft.com/office/spreadsheetml/2017/richdata2" count="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588-6557-4D4F-9E2A-7956C84302E3}">
  <dimension ref="A1:W206"/>
  <sheetViews>
    <sheetView tabSelected="1" topLeftCell="A165" zoomScale="160" zoomScaleNormal="160" workbookViewId="0">
      <selection activeCell="C160" sqref="C160"/>
    </sheetView>
  </sheetViews>
  <sheetFormatPr defaultColWidth="8.88671875" defaultRowHeight="13.2"/>
  <cols>
    <col min="1" max="1" width="20.44140625" customWidth="1"/>
    <col min="2" max="3" width="14.88671875" customWidth="1"/>
    <col min="4" max="4" width="12.44140625" customWidth="1"/>
    <col min="5" max="6" width="9.109375" customWidth="1"/>
    <col min="7" max="7" width="11.44140625" customWidth="1"/>
    <col min="8" max="8" width="11.109375" customWidth="1"/>
    <col min="12" max="12" width="10.109375" bestFit="1" customWidth="1"/>
    <col min="22" max="22" width="10.109375" bestFit="1" customWidth="1"/>
  </cols>
  <sheetData>
    <row r="1" spans="1:23">
      <c r="A1" s="11" t="s">
        <v>0</v>
      </c>
    </row>
    <row r="2" spans="1:23">
      <c r="A2" t="s">
        <v>1</v>
      </c>
      <c r="B2">
        <v>20</v>
      </c>
    </row>
    <row r="3" spans="1:23">
      <c r="A3" t="s">
        <v>2</v>
      </c>
      <c r="B3">
        <v>600000</v>
      </c>
    </row>
    <row r="4" spans="1:23">
      <c r="A4" t="s">
        <v>3</v>
      </c>
      <c r="B4" s="8">
        <v>2.5000000000000001E-2</v>
      </c>
    </row>
    <row r="5" spans="1:23">
      <c r="A5" t="s">
        <v>4</v>
      </c>
      <c r="B5">
        <v>1</v>
      </c>
      <c r="C5" t="s">
        <v>5</v>
      </c>
    </row>
    <row r="6" spans="1:23">
      <c r="A6" t="s">
        <v>6</v>
      </c>
      <c r="B6" s="2">
        <v>0.05</v>
      </c>
    </row>
    <row r="7" spans="1:23">
      <c r="A7" s="1"/>
      <c r="B7" s="9">
        <v>0</v>
      </c>
      <c r="C7" s="9">
        <f>B7+1</f>
        <v>1</v>
      </c>
      <c r="D7" s="9">
        <f t="shared" ref="D7:V7" si="0">C7+1</f>
        <v>2</v>
      </c>
      <c r="E7" s="9">
        <f t="shared" si="0"/>
        <v>3</v>
      </c>
      <c r="F7" s="9">
        <f t="shared" si="0"/>
        <v>4</v>
      </c>
      <c r="G7" s="9">
        <f t="shared" si="0"/>
        <v>5</v>
      </c>
      <c r="H7" s="9">
        <f t="shared" si="0"/>
        <v>6</v>
      </c>
      <c r="I7" s="9">
        <f t="shared" si="0"/>
        <v>7</v>
      </c>
      <c r="J7" s="9">
        <f t="shared" si="0"/>
        <v>8</v>
      </c>
      <c r="K7" s="9">
        <f t="shared" si="0"/>
        <v>9</v>
      </c>
      <c r="L7" s="9">
        <f t="shared" si="0"/>
        <v>10</v>
      </c>
      <c r="M7" s="9">
        <f t="shared" si="0"/>
        <v>11</v>
      </c>
      <c r="N7" s="9">
        <f t="shared" si="0"/>
        <v>12</v>
      </c>
      <c r="O7" s="9">
        <f t="shared" si="0"/>
        <v>13</v>
      </c>
      <c r="P7" s="9">
        <f t="shared" si="0"/>
        <v>14</v>
      </c>
      <c r="Q7" s="9">
        <f t="shared" si="0"/>
        <v>15</v>
      </c>
      <c r="R7" s="9">
        <f t="shared" si="0"/>
        <v>16</v>
      </c>
      <c r="S7" s="9">
        <f t="shared" si="0"/>
        <v>17</v>
      </c>
      <c r="T7" s="9">
        <f t="shared" si="0"/>
        <v>18</v>
      </c>
      <c r="U7" s="9">
        <f t="shared" si="0"/>
        <v>19</v>
      </c>
      <c r="V7" s="9">
        <f t="shared" si="0"/>
        <v>20</v>
      </c>
      <c r="W7" s="9"/>
    </row>
    <row r="8" spans="1:23">
      <c r="A8" t="s">
        <v>7</v>
      </c>
      <c r="B8" s="4"/>
      <c r="C8" s="4">
        <f t="shared" ref="C8:U8" si="1">$B$4*$B$3/$B$5</f>
        <v>15000</v>
      </c>
      <c r="D8" s="4">
        <f t="shared" si="1"/>
        <v>15000</v>
      </c>
      <c r="E8" s="4">
        <f t="shared" si="1"/>
        <v>15000</v>
      </c>
      <c r="F8" s="4">
        <f t="shared" si="1"/>
        <v>15000</v>
      </c>
      <c r="G8" s="4">
        <f t="shared" si="1"/>
        <v>15000</v>
      </c>
      <c r="H8" s="4">
        <f t="shared" si="1"/>
        <v>15000</v>
      </c>
      <c r="I8" s="4">
        <f t="shared" si="1"/>
        <v>15000</v>
      </c>
      <c r="J8" s="4">
        <f t="shared" si="1"/>
        <v>15000</v>
      </c>
      <c r="K8" s="4">
        <f t="shared" si="1"/>
        <v>15000</v>
      </c>
      <c r="L8" s="4">
        <f t="shared" si="1"/>
        <v>15000</v>
      </c>
      <c r="M8" s="4">
        <f t="shared" si="1"/>
        <v>15000</v>
      </c>
      <c r="N8" s="4">
        <f t="shared" si="1"/>
        <v>15000</v>
      </c>
      <c r="O8" s="4">
        <f t="shared" si="1"/>
        <v>15000</v>
      </c>
      <c r="P8" s="4">
        <f t="shared" si="1"/>
        <v>15000</v>
      </c>
      <c r="Q8" s="4">
        <f t="shared" si="1"/>
        <v>15000</v>
      </c>
      <c r="R8" s="4">
        <f t="shared" si="1"/>
        <v>15000</v>
      </c>
      <c r="S8" s="4">
        <f t="shared" si="1"/>
        <v>15000</v>
      </c>
      <c r="T8" s="4">
        <f t="shared" si="1"/>
        <v>15000</v>
      </c>
      <c r="U8" s="4">
        <f t="shared" si="1"/>
        <v>15000</v>
      </c>
      <c r="V8" s="4">
        <f>$B$4*$B$3/$B$5+B3</f>
        <v>615000</v>
      </c>
    </row>
    <row r="9" spans="1:23">
      <c r="A9" s="7" t="s">
        <v>8</v>
      </c>
      <c r="C9">
        <f>C8*C7</f>
        <v>15000</v>
      </c>
      <c r="D9">
        <f t="shared" ref="D9:V9" si="2">D8*D7</f>
        <v>30000</v>
      </c>
      <c r="E9">
        <f t="shared" si="2"/>
        <v>45000</v>
      </c>
      <c r="F9">
        <f t="shared" si="2"/>
        <v>60000</v>
      </c>
      <c r="G9">
        <f t="shared" si="2"/>
        <v>75000</v>
      </c>
      <c r="H9">
        <f t="shared" si="2"/>
        <v>90000</v>
      </c>
      <c r="I9">
        <f t="shared" si="2"/>
        <v>105000</v>
      </c>
      <c r="J9">
        <f t="shared" si="2"/>
        <v>120000</v>
      </c>
      <c r="K9">
        <f t="shared" si="2"/>
        <v>135000</v>
      </c>
      <c r="L9">
        <f t="shared" si="2"/>
        <v>150000</v>
      </c>
      <c r="M9">
        <f t="shared" si="2"/>
        <v>165000</v>
      </c>
      <c r="N9">
        <f t="shared" si="2"/>
        <v>180000</v>
      </c>
      <c r="O9">
        <f t="shared" si="2"/>
        <v>195000</v>
      </c>
      <c r="P9">
        <f t="shared" si="2"/>
        <v>210000</v>
      </c>
      <c r="Q9">
        <f t="shared" si="2"/>
        <v>225000</v>
      </c>
      <c r="R9">
        <f t="shared" si="2"/>
        <v>240000</v>
      </c>
      <c r="S9">
        <f t="shared" si="2"/>
        <v>255000</v>
      </c>
      <c r="T9">
        <f t="shared" si="2"/>
        <v>270000</v>
      </c>
      <c r="U9">
        <f t="shared" si="2"/>
        <v>285000</v>
      </c>
      <c r="V9">
        <f t="shared" si="2"/>
        <v>12300000</v>
      </c>
    </row>
    <row r="10" spans="1:23">
      <c r="A10" s="7" t="s">
        <v>9</v>
      </c>
      <c r="C10">
        <f>((C7^2)+C7)*C8</f>
        <v>30000</v>
      </c>
      <c r="D10">
        <f t="shared" ref="D10:F10" si="3">((D7^2)+D7)*D8</f>
        <v>90000</v>
      </c>
      <c r="E10">
        <f t="shared" si="3"/>
        <v>180000</v>
      </c>
      <c r="F10">
        <f t="shared" si="3"/>
        <v>300000</v>
      </c>
      <c r="G10">
        <f>((G7^2)+G7)*G8</f>
        <v>450000</v>
      </c>
      <c r="H10">
        <f t="shared" ref="H10:V10" si="4">((H7^2)+H7)*H8</f>
        <v>630000</v>
      </c>
      <c r="I10">
        <f t="shared" si="4"/>
        <v>840000</v>
      </c>
      <c r="J10">
        <f t="shared" si="4"/>
        <v>1080000</v>
      </c>
      <c r="K10">
        <f t="shared" si="4"/>
        <v>1350000</v>
      </c>
      <c r="L10">
        <f t="shared" si="4"/>
        <v>1650000</v>
      </c>
      <c r="M10">
        <f t="shared" si="4"/>
        <v>1980000</v>
      </c>
      <c r="N10">
        <f t="shared" si="4"/>
        <v>2340000</v>
      </c>
      <c r="O10">
        <f t="shared" si="4"/>
        <v>2730000</v>
      </c>
      <c r="P10">
        <f t="shared" si="4"/>
        <v>3150000</v>
      </c>
      <c r="Q10">
        <f t="shared" si="4"/>
        <v>3600000</v>
      </c>
      <c r="R10">
        <f t="shared" si="4"/>
        <v>4080000</v>
      </c>
      <c r="S10">
        <f t="shared" si="4"/>
        <v>4590000</v>
      </c>
      <c r="T10">
        <f t="shared" si="4"/>
        <v>5130000</v>
      </c>
      <c r="U10">
        <f t="shared" si="4"/>
        <v>5700000</v>
      </c>
      <c r="V10">
        <f t="shared" si="4"/>
        <v>258300000</v>
      </c>
    </row>
    <row r="11" spans="1:23">
      <c r="A11" t="s">
        <v>10</v>
      </c>
      <c r="B11" s="10">
        <f>-PV(B6,B2,B4*B3,B3)</f>
        <v>413066.84486190014</v>
      </c>
    </row>
    <row r="12" spans="1:23">
      <c r="A12" s="6" t="s">
        <v>10</v>
      </c>
      <c r="B12" s="5">
        <f>NPV(B6,C8:V8)</f>
        <v>413066.84486189991</v>
      </c>
      <c r="C12" t="str">
        <f ca="1">"&lt;--"&amp;_xlfn.FORMULATEXT(B12)</f>
        <v>&lt;--=NPV(B6,C8:V8)</v>
      </c>
      <c r="G12" s="10"/>
    </row>
    <row r="13" spans="1:23">
      <c r="A13" s="6" t="s">
        <v>11</v>
      </c>
      <c r="B13" s="5">
        <f>NPV(B6,C9:V9)/B12</f>
        <v>14.978043462206617</v>
      </c>
      <c r="C13" t="str">
        <f ca="1">"&lt;--"&amp;_xlfn.FORMULATEXT(B13)</f>
        <v>&lt;--=NPV(B6,C9:V9)/B12</v>
      </c>
    </row>
    <row r="14" spans="1:23">
      <c r="A14" s="6" t="s">
        <v>12</v>
      </c>
      <c r="B14" s="5">
        <f>NPV(B6,C10:V10)/(B12*(1+B6)^2)</f>
        <v>257.76322083938379</v>
      </c>
      <c r="C14" t="str">
        <f ca="1">"&lt;--"&amp;_xlfn.FORMULATEXT(B14)</f>
        <v>&lt;--=NPV(B6,C10:V10)/(B12*(1+B6)^2)</v>
      </c>
    </row>
    <row r="18" spans="1:8">
      <c r="A18" s="1" t="s">
        <v>13</v>
      </c>
    </row>
    <row r="19" spans="1:8">
      <c r="A19" t="s">
        <v>1</v>
      </c>
      <c r="B19">
        <v>5</v>
      </c>
    </row>
    <row r="20" spans="1:8">
      <c r="A20" t="s">
        <v>2</v>
      </c>
      <c r="B20">
        <v>400000</v>
      </c>
    </row>
    <row r="21" spans="1:8">
      <c r="A21" t="s">
        <v>3</v>
      </c>
      <c r="B21" s="3">
        <v>3.7999999999999999E-2</v>
      </c>
    </row>
    <row r="22" spans="1:8">
      <c r="A22" t="s">
        <v>4</v>
      </c>
      <c r="B22">
        <v>1</v>
      </c>
      <c r="C22" t="s">
        <v>5</v>
      </c>
    </row>
    <row r="23" spans="1:8">
      <c r="A23" t="s">
        <v>6</v>
      </c>
      <c r="B23" s="2">
        <v>0.04</v>
      </c>
    </row>
    <row r="24" spans="1:8">
      <c r="A24" s="1"/>
      <c r="B24" s="9">
        <v>0</v>
      </c>
      <c r="C24" s="9">
        <f>B24+1</f>
        <v>1</v>
      </c>
      <c r="D24" s="9">
        <f t="shared" ref="D24:G24" si="5">C24+1</f>
        <v>2</v>
      </c>
      <c r="E24" s="9">
        <f t="shared" si="5"/>
        <v>3</v>
      </c>
      <c r="F24" s="9">
        <f t="shared" si="5"/>
        <v>4</v>
      </c>
      <c r="G24" s="9">
        <f t="shared" si="5"/>
        <v>5</v>
      </c>
    </row>
    <row r="25" spans="1:8">
      <c r="A25" t="s">
        <v>7</v>
      </c>
      <c r="B25" s="4"/>
      <c r="C25" s="4">
        <f>B20*B21</f>
        <v>15200</v>
      </c>
      <c r="D25" s="4">
        <f>C25</f>
        <v>15200</v>
      </c>
      <c r="E25" s="4">
        <f t="shared" ref="E25:F25" si="6">D25</f>
        <v>15200</v>
      </c>
      <c r="F25" s="4">
        <f t="shared" si="6"/>
        <v>15200</v>
      </c>
      <c r="G25" s="4">
        <f>F25+B20</f>
        <v>415200</v>
      </c>
      <c r="H25" t="str">
        <f ca="1">"&lt;--"&amp;_xlfn.FORMULATEXT(G25)</f>
        <v>&lt;--=F25+B20</v>
      </c>
    </row>
    <row r="26" spans="1:8">
      <c r="A26" s="7" t="s">
        <v>8</v>
      </c>
      <c r="C26">
        <f>C25*C24</f>
        <v>15200</v>
      </c>
      <c r="D26">
        <f t="shared" ref="D26" si="7">D25*D24</f>
        <v>30400</v>
      </c>
      <c r="E26">
        <f t="shared" ref="E26" si="8">E25*E24</f>
        <v>45600</v>
      </c>
      <c r="F26">
        <f t="shared" ref="F26" si="9">F25*F24</f>
        <v>60800</v>
      </c>
      <c r="G26">
        <f t="shared" ref="G26" si="10">G25*G24</f>
        <v>2076000</v>
      </c>
    </row>
    <row r="27" spans="1:8">
      <c r="A27" s="7" t="s">
        <v>9</v>
      </c>
      <c r="C27">
        <f>((C24^2)+C24)*C25</f>
        <v>30400</v>
      </c>
      <c r="D27">
        <f t="shared" ref="D27:F27" si="11">((D24^2)+D24)*D25</f>
        <v>91200</v>
      </c>
      <c r="E27">
        <f t="shared" si="11"/>
        <v>182400</v>
      </c>
      <c r="F27">
        <f t="shared" si="11"/>
        <v>304000</v>
      </c>
      <c r="G27">
        <f>((G24^2)+G24)*G25</f>
        <v>12456000</v>
      </c>
    </row>
    <row r="28" spans="1:8">
      <c r="A28" t="s">
        <v>10</v>
      </c>
      <c r="B28" s="10">
        <f>-PV(B23,B19,B21*B20,B20)</f>
        <v>396438.54213518702</v>
      </c>
    </row>
    <row r="29" spans="1:8">
      <c r="A29" s="6" t="s">
        <v>10</v>
      </c>
      <c r="B29" s="5">
        <f>NPV(B23,C25:G25)</f>
        <v>396438.54213518696</v>
      </c>
      <c r="C29" t="str">
        <f ca="1">"&lt;--"&amp;_xlfn.FORMULATEXT(B29)</f>
        <v>&lt;--=NPV(B23,C25:G25)</v>
      </c>
    </row>
    <row r="30" spans="1:8">
      <c r="A30" s="6" t="s">
        <v>11</v>
      </c>
      <c r="B30" s="5">
        <f>NPV(B23,C26:G26)/B29</f>
        <v>4.6452418222887202</v>
      </c>
      <c r="C30" t="str">
        <f t="shared" ref="C30:C31" ca="1" si="12">"&lt;--"&amp;_xlfn.FORMULATEXT(B30)</f>
        <v>&lt;--=NPV(B23,C26:G26)/B29</v>
      </c>
    </row>
    <row r="31" spans="1:8">
      <c r="A31" s="6" t="s">
        <v>12</v>
      </c>
      <c r="B31" s="5">
        <f>NPV(B23,C27:G27)/(B29*(1+B23)^2)</f>
        <v>25.125445621956313</v>
      </c>
      <c r="C31" t="str">
        <f t="shared" ca="1" si="12"/>
        <v>&lt;--=NPV(B23,C27:G27)/(B29*(1+B23)^2)</v>
      </c>
    </row>
    <row r="34" spans="1:12">
      <c r="A34" s="1" t="s">
        <v>14</v>
      </c>
    </row>
    <row r="35" spans="1:12">
      <c r="A35" t="s">
        <v>1</v>
      </c>
      <c r="B35">
        <v>10</v>
      </c>
    </row>
    <row r="36" spans="1:12">
      <c r="A36" t="s">
        <v>2</v>
      </c>
      <c r="B36">
        <v>500000</v>
      </c>
    </row>
    <row r="37" spans="1:12">
      <c r="A37" t="s">
        <v>3</v>
      </c>
      <c r="B37" s="3">
        <v>4.2000000000000003E-2</v>
      </c>
    </row>
    <row r="38" spans="1:12">
      <c r="A38" t="s">
        <v>4</v>
      </c>
      <c r="B38">
        <v>1</v>
      </c>
      <c r="C38" t="s">
        <v>5</v>
      </c>
    </row>
    <row r="39" spans="1:12">
      <c r="A39" t="s">
        <v>6</v>
      </c>
      <c r="B39" s="2">
        <v>0.03</v>
      </c>
    </row>
    <row r="40" spans="1:12">
      <c r="A40" s="1"/>
      <c r="B40" s="9">
        <v>0</v>
      </c>
      <c r="C40" s="9">
        <f>B40+1</f>
        <v>1</v>
      </c>
      <c r="D40" s="9">
        <f t="shared" ref="D40:L40" si="13">C40+1</f>
        <v>2</v>
      </c>
      <c r="E40" s="9">
        <f t="shared" si="13"/>
        <v>3</v>
      </c>
      <c r="F40" s="9">
        <f t="shared" si="13"/>
        <v>4</v>
      </c>
      <c r="G40" s="9">
        <f t="shared" si="13"/>
        <v>5</v>
      </c>
      <c r="H40" s="9">
        <f t="shared" si="13"/>
        <v>6</v>
      </c>
      <c r="I40" s="9">
        <f t="shared" si="13"/>
        <v>7</v>
      </c>
      <c r="J40" s="9">
        <f t="shared" si="13"/>
        <v>8</v>
      </c>
      <c r="K40" s="9">
        <f t="shared" si="13"/>
        <v>9</v>
      </c>
      <c r="L40" s="9">
        <f t="shared" si="13"/>
        <v>10</v>
      </c>
    </row>
    <row r="41" spans="1:12">
      <c r="A41" t="s">
        <v>7</v>
      </c>
      <c r="B41" s="4"/>
      <c r="C41" s="4">
        <f>B36*B37</f>
        <v>21000</v>
      </c>
      <c r="D41" s="4">
        <f>C41</f>
        <v>21000</v>
      </c>
      <c r="E41" s="4">
        <f t="shared" ref="E41:K41" si="14">D41</f>
        <v>21000</v>
      </c>
      <c r="F41" s="4">
        <f t="shared" si="14"/>
        <v>21000</v>
      </c>
      <c r="G41" s="4">
        <f t="shared" si="14"/>
        <v>21000</v>
      </c>
      <c r="H41" s="4">
        <f t="shared" si="14"/>
        <v>21000</v>
      </c>
      <c r="I41" s="4">
        <f t="shared" si="14"/>
        <v>21000</v>
      </c>
      <c r="J41" s="4">
        <f t="shared" si="14"/>
        <v>21000</v>
      </c>
      <c r="K41" s="4">
        <f t="shared" si="14"/>
        <v>21000</v>
      </c>
      <c r="L41" s="4">
        <f>K41+B36</f>
        <v>521000</v>
      </c>
    </row>
    <row r="42" spans="1:12">
      <c r="A42" s="7" t="s">
        <v>8</v>
      </c>
      <c r="C42">
        <f>C41*C40</f>
        <v>21000</v>
      </c>
      <c r="D42">
        <f t="shared" ref="D42" si="15">D41*D40</f>
        <v>42000</v>
      </c>
      <c r="E42">
        <f t="shared" ref="E42" si="16">E41*E40</f>
        <v>63000</v>
      </c>
      <c r="F42">
        <f t="shared" ref="F42" si="17">F41*F40</f>
        <v>84000</v>
      </c>
      <c r="G42">
        <f t="shared" ref="G42" si="18">G41*G40</f>
        <v>105000</v>
      </c>
      <c r="H42">
        <f t="shared" ref="H42" si="19">H41*H40</f>
        <v>126000</v>
      </c>
      <c r="I42">
        <f t="shared" ref="I42" si="20">I41*I40</f>
        <v>147000</v>
      </c>
      <c r="J42">
        <f t="shared" ref="J42" si="21">J41*J40</f>
        <v>168000</v>
      </c>
      <c r="K42">
        <f t="shared" ref="K42" si="22">K41*K40</f>
        <v>189000</v>
      </c>
      <c r="L42">
        <f t="shared" ref="L42" si="23">L41*L40</f>
        <v>5210000</v>
      </c>
    </row>
    <row r="43" spans="1:12">
      <c r="A43" s="7" t="s">
        <v>9</v>
      </c>
      <c r="C43">
        <f>((C40^2)+C40)*C41</f>
        <v>42000</v>
      </c>
      <c r="D43">
        <f t="shared" ref="D43:F43" si="24">((D40^2)+D40)*D41</f>
        <v>126000</v>
      </c>
      <c r="E43">
        <f t="shared" si="24"/>
        <v>252000</v>
      </c>
      <c r="F43">
        <f t="shared" si="24"/>
        <v>420000</v>
      </c>
      <c r="G43">
        <f>((G40^2)+G40)*G41</f>
        <v>630000</v>
      </c>
      <c r="H43">
        <f t="shared" ref="H43:L43" si="25">((H40^2)+H40)*H41</f>
        <v>882000</v>
      </c>
      <c r="I43">
        <f t="shared" si="25"/>
        <v>1176000</v>
      </c>
      <c r="J43">
        <f t="shared" si="25"/>
        <v>1512000</v>
      </c>
      <c r="K43">
        <f t="shared" si="25"/>
        <v>1890000</v>
      </c>
      <c r="L43">
        <f t="shared" si="25"/>
        <v>57310000</v>
      </c>
    </row>
    <row r="44" spans="1:12">
      <c r="A44" t="s">
        <v>10</v>
      </c>
      <c r="B44" s="10">
        <f>-PV(B39,B35,B37*B36,B36)</f>
        <v>551181.21702065493</v>
      </c>
    </row>
    <row r="45" spans="1:12">
      <c r="A45" s="6" t="s">
        <v>10</v>
      </c>
      <c r="B45" s="5">
        <f>NPV(B39,C41:L41)</f>
        <v>551181.21702065482</v>
      </c>
      <c r="C45" t="str">
        <f ca="1">"&lt;--"&amp;_xlfn.FORMULATEXT(B45)</f>
        <v>&lt;--=NPV(B39,C41:L41)</v>
      </c>
    </row>
    <row r="46" spans="1:12">
      <c r="A46" s="6" t="s">
        <v>11</v>
      </c>
      <c r="B46" s="5">
        <f>NPV(B39,C42:L42)/B45</f>
        <v>8.4583586514836124</v>
      </c>
    </row>
    <row r="47" spans="1:12">
      <c r="A47" s="6" t="s">
        <v>12</v>
      </c>
      <c r="B47" s="5">
        <f>NPV(B39,C43:L43)/(B45*(1+B39)^2)</f>
        <v>82.578731882836635</v>
      </c>
    </row>
    <row r="52" spans="1:4" ht="15.6">
      <c r="A52" s="39" t="s">
        <v>15</v>
      </c>
    </row>
    <row r="54" spans="1:4">
      <c r="A54" s="36" t="s">
        <v>16</v>
      </c>
      <c r="B54" s="135" t="s">
        <v>11</v>
      </c>
      <c r="C54" s="135"/>
      <c r="D54" s="135"/>
    </row>
    <row r="55" spans="1:4">
      <c r="A55" s="37"/>
      <c r="B55" s="36" t="s">
        <v>17</v>
      </c>
      <c r="C55" s="36" t="s">
        <v>18</v>
      </c>
      <c r="D55" s="36" t="s">
        <v>19</v>
      </c>
    </row>
    <row r="56" spans="1:4">
      <c r="A56" s="38">
        <v>0.01</v>
      </c>
      <c r="B56" s="37">
        <v>16.510000000000002</v>
      </c>
      <c r="C56" s="37">
        <v>4.6720378599999997</v>
      </c>
      <c r="D56" s="37">
        <v>8.6012188500000004</v>
      </c>
    </row>
    <row r="57" spans="1:4">
      <c r="A57" s="38">
        <v>0.02</v>
      </c>
      <c r="B57" s="37">
        <v>16.161871999999999</v>
      </c>
      <c r="C57" s="37">
        <v>4.6632547600000001</v>
      </c>
      <c r="D57" s="37">
        <v>8.53099688</v>
      </c>
    </row>
    <row r="58" spans="1:4">
      <c r="A58" s="38">
        <v>0.03</v>
      </c>
      <c r="B58" s="37">
        <v>15.789994699999999</v>
      </c>
      <c r="C58" s="37">
        <v>4.6543227800000002</v>
      </c>
      <c r="D58" s="37">
        <v>8.4583586499999992</v>
      </c>
    </row>
    <row r="59" spans="1:4">
      <c r="A59" s="38">
        <v>0.04</v>
      </c>
      <c r="B59" s="37">
        <v>15.3949502</v>
      </c>
      <c r="C59" s="37">
        <v>4.6452418199999999</v>
      </c>
      <c r="D59" s="37">
        <v>8.3833235800000008</v>
      </c>
    </row>
    <row r="60" spans="1:4">
      <c r="A60" s="38">
        <v>0.05</v>
      </c>
      <c r="B60" s="37">
        <v>14.9780435</v>
      </c>
      <c r="C60" s="37">
        <v>4.6360118400000001</v>
      </c>
      <c r="D60" s="37">
        <v>8.3059203299999993</v>
      </c>
    </row>
    <row r="61" spans="1:4">
      <c r="A61" s="38">
        <v>0.06</v>
      </c>
      <c r="B61" s="37">
        <v>14.541080300000001</v>
      </c>
      <c r="C61" s="37">
        <v>4.6266328799999998</v>
      </c>
      <c r="D61" s="37">
        <v>8.2261870800000008</v>
      </c>
    </row>
    <row r="62" spans="1:4">
      <c r="A62" s="38">
        <v>7.0000000000000007E-2</v>
      </c>
      <c r="B62" s="37">
        <v>14.086353000000001</v>
      </c>
      <c r="C62" s="37">
        <v>4.6171050100000004</v>
      </c>
      <c r="D62" s="37">
        <v>8.1441716100000008</v>
      </c>
    </row>
    <row r="63" spans="1:4">
      <c r="A63" s="38">
        <v>0.08</v>
      </c>
      <c r="B63" s="37">
        <v>13.6166018</v>
      </c>
      <c r="C63" s="37">
        <v>4.6074284199999997</v>
      </c>
      <c r="D63" s="37">
        <v>8.0599314799999995</v>
      </c>
    </row>
    <row r="64" spans="1:4">
      <c r="A64" s="38">
        <v>0.09</v>
      </c>
      <c r="B64" s="37">
        <v>13.1349506</v>
      </c>
      <c r="C64" s="37">
        <v>4.59760334</v>
      </c>
      <c r="D64" s="37">
        <v>7.9735339400000003</v>
      </c>
    </row>
    <row r="65" spans="1:4">
      <c r="A65" s="38">
        <v>0.1</v>
      </c>
      <c r="B65" s="37">
        <v>12.6448214</v>
      </c>
      <c r="C65" s="37">
        <v>4.5876300700000003</v>
      </c>
      <c r="D65" s="37">
        <v>7.8850558700000004</v>
      </c>
    </row>
    <row r="66" spans="1:4">
      <c r="A66" s="38">
        <v>0.11</v>
      </c>
      <c r="B66" s="37">
        <v>12.1498306</v>
      </c>
      <c r="C66" s="37">
        <v>4.5775089900000001</v>
      </c>
      <c r="D66" s="37">
        <v>7.7945835700000003</v>
      </c>
    </row>
    <row r="67" spans="1:4">
      <c r="A67" s="38">
        <v>0.12</v>
      </c>
      <c r="B67" s="37">
        <v>11.653675399999999</v>
      </c>
      <c r="C67" s="37">
        <v>4.5672405500000002</v>
      </c>
      <c r="D67" s="37">
        <v>7.7022125099999998</v>
      </c>
    </row>
    <row r="68" spans="1:4">
      <c r="A68" s="38">
        <v>0.13</v>
      </c>
      <c r="B68" s="37">
        <v>11.1600164</v>
      </c>
      <c r="C68" s="37">
        <v>4.5568252600000001</v>
      </c>
      <c r="D68" s="37">
        <v>7.6080468799999998</v>
      </c>
    </row>
    <row r="69" spans="1:4">
      <c r="A69" s="38">
        <v>0.14000000000000001</v>
      </c>
      <c r="B69" s="37">
        <v>10.6723649</v>
      </c>
      <c r="C69" s="37">
        <v>4.5462637199999998</v>
      </c>
      <c r="D69" s="37">
        <v>7.5121991899999996</v>
      </c>
    </row>
    <row r="70" spans="1:4">
      <c r="A70" s="38">
        <v>0.15</v>
      </c>
      <c r="B70" s="37">
        <v>10.193982999999999</v>
      </c>
      <c r="C70" s="37">
        <v>4.5355565799999997</v>
      </c>
      <c r="D70" s="37">
        <v>7.4147896700000002</v>
      </c>
    </row>
    <row r="71" spans="1:4">
      <c r="A71" s="38">
        <v>0.16</v>
      </c>
      <c r="B71" s="37">
        <v>9.7278004100000004</v>
      </c>
      <c r="C71" s="37">
        <v>4.5247045699999999</v>
      </c>
      <c r="D71" s="37">
        <v>7.3159456</v>
      </c>
    </row>
    <row r="72" spans="1:4">
      <c r="A72" s="38">
        <v>0.17</v>
      </c>
      <c r="B72" s="37">
        <v>9.2763527900000007</v>
      </c>
      <c r="C72" s="37">
        <v>4.5137084999999999</v>
      </c>
      <c r="D72" s="37">
        <v>7.2158006600000002</v>
      </c>
    </row>
    <row r="73" spans="1:4">
      <c r="A73" s="2"/>
    </row>
    <row r="74" spans="1:4">
      <c r="A74" s="2"/>
    </row>
    <row r="75" spans="1:4">
      <c r="A75" s="2"/>
    </row>
    <row r="76" spans="1:4">
      <c r="A76" s="2"/>
    </row>
    <row r="77" spans="1:4">
      <c r="A77" s="36" t="s">
        <v>20</v>
      </c>
      <c r="B77" s="135" t="s">
        <v>11</v>
      </c>
      <c r="C77" s="135"/>
      <c r="D77" s="135"/>
    </row>
    <row r="78" spans="1:4">
      <c r="A78" s="37"/>
      <c r="B78" s="36" t="s">
        <v>17</v>
      </c>
      <c r="C78" s="36" t="s">
        <v>18</v>
      </c>
      <c r="D78" s="36" t="s">
        <v>19</v>
      </c>
    </row>
    <row r="79" spans="1:4">
      <c r="A79" s="38">
        <v>0</v>
      </c>
      <c r="B79" s="37">
        <v>20</v>
      </c>
      <c r="C79" s="37">
        <v>5</v>
      </c>
      <c r="D79" s="37">
        <v>10</v>
      </c>
    </row>
    <row r="80" spans="1:4">
      <c r="A80" s="38">
        <v>0.01</v>
      </c>
      <c r="B80" s="37">
        <v>17.242464999999999</v>
      </c>
      <c r="C80" s="37">
        <v>4.8932117000000002</v>
      </c>
      <c r="D80" s="37">
        <v>9.5121385000000007</v>
      </c>
    </row>
    <row r="81" spans="1:4">
      <c r="A81" s="38">
        <v>0.02</v>
      </c>
      <c r="B81" s="37">
        <v>15.582618</v>
      </c>
      <c r="C81" s="37">
        <v>4.7968608000000001</v>
      </c>
      <c r="D81" s="37">
        <v>9.1152700000000006</v>
      </c>
    </row>
    <row r="82" spans="1:4">
      <c r="A82" s="38">
        <v>0.03</v>
      </c>
      <c r="B82" s="37">
        <v>14.473826000000001</v>
      </c>
      <c r="C82" s="37">
        <v>4.7094883999999997</v>
      </c>
      <c r="D82" s="37">
        <v>8.7861089000000003</v>
      </c>
    </row>
    <row r="83" spans="1:4">
      <c r="A83" s="38">
        <v>0.04</v>
      </c>
      <c r="B83" s="37">
        <v>13.680737000000001</v>
      </c>
      <c r="C83" s="37">
        <v>4.6298952</v>
      </c>
      <c r="D83" s="37">
        <v>8.5086902999999996</v>
      </c>
    </row>
    <row r="84" spans="1:4">
      <c r="A84" s="38">
        <v>0.05</v>
      </c>
      <c r="B84" s="37">
        <v>13.085321</v>
      </c>
      <c r="C84" s="37">
        <v>4.5570867000000002</v>
      </c>
      <c r="D84" s="37">
        <v>8.2717027000000005</v>
      </c>
    </row>
    <row r="85" spans="1:4">
      <c r="A85" s="38">
        <v>0.06</v>
      </c>
      <c r="B85" s="37">
        <v>12.621864</v>
      </c>
      <c r="C85" s="37">
        <v>4.4902309000000002</v>
      </c>
      <c r="D85" s="37">
        <v>8.0669079000000004</v>
      </c>
    </row>
    <row r="86" spans="1:4">
      <c r="A86" s="38">
        <v>7.0000000000000007E-2</v>
      </c>
      <c r="B86" s="37">
        <v>12.250874</v>
      </c>
      <c r="C86" s="37">
        <v>4.4286263000000003</v>
      </c>
      <c r="D86" s="37">
        <v>7.8881633000000004</v>
      </c>
    </row>
    <row r="87" spans="1:4">
      <c r="A87" s="38">
        <v>0.08</v>
      </c>
      <c r="B87" s="37">
        <v>11.947188000000001</v>
      </c>
      <c r="C87" s="37">
        <v>4.3716775999999999</v>
      </c>
      <c r="D87" s="37">
        <v>7.7307958000000001</v>
      </c>
    </row>
    <row r="88" spans="1:4">
      <c r="A88" s="38">
        <v>0.09</v>
      </c>
      <c r="B88" s="37">
        <v>11.694015</v>
      </c>
      <c r="C88" s="37">
        <v>4.3188763000000003</v>
      </c>
      <c r="D88" s="37">
        <v>7.5911866999999997</v>
      </c>
    </row>
    <row r="89" spans="1:4">
      <c r="A89" s="38">
        <v>0.1</v>
      </c>
      <c r="B89" s="37">
        <v>11.479718999999999</v>
      </c>
      <c r="C89" s="37">
        <v>4.2697852000000003</v>
      </c>
      <c r="D89" s="37">
        <v>7.4664907999999999</v>
      </c>
    </row>
    <row r="90" spans="1:4">
      <c r="A90" s="38">
        <v>0.11</v>
      </c>
      <c r="B90" s="37">
        <v>11.295983</v>
      </c>
      <c r="C90" s="37">
        <v>4.2240266000000002</v>
      </c>
      <c r="D90" s="37">
        <v>7.3544394999999998</v>
      </c>
    </row>
    <row r="91" spans="1:4">
      <c r="A91" s="38">
        <v>0.12</v>
      </c>
      <c r="B91" s="37">
        <v>11.136706</v>
      </c>
      <c r="C91" s="37">
        <v>4.1812721000000002</v>
      </c>
      <c r="D91" s="37">
        <v>7.2532024000000002</v>
      </c>
    </row>
    <row r="92" spans="1:4">
      <c r="A92" s="38">
        <v>0.13</v>
      </c>
      <c r="B92" s="37">
        <v>10.997309</v>
      </c>
      <c r="C92" s="37">
        <v>4.1412354999999996</v>
      </c>
      <c r="D92" s="37">
        <v>7.1612859999999996</v>
      </c>
    </row>
    <row r="93" spans="1:4">
      <c r="A93" s="38">
        <v>0.14000000000000001</v>
      </c>
      <c r="B93" s="37">
        <v>10.874288</v>
      </c>
      <c r="C93" s="37">
        <v>4.1036655</v>
      </c>
      <c r="D93" s="37">
        <v>7.0774597000000004</v>
      </c>
    </row>
    <row r="94" spans="1:4">
      <c r="A94" s="38">
        <v>0.15</v>
      </c>
      <c r="B94" s="37">
        <v>10.764917000000001</v>
      </c>
      <c r="C94" s="37">
        <v>4.0683410000000002</v>
      </c>
      <c r="D94" s="37">
        <v>7.0007004999999998</v>
      </c>
    </row>
    <row r="95" spans="1:4">
      <c r="A95" s="38">
        <v>0.16</v>
      </c>
      <c r="B95" s="37">
        <v>10.667045</v>
      </c>
      <c r="C95" s="37">
        <v>4.0350663999999998</v>
      </c>
      <c r="D95" s="37">
        <v>6.9301509000000001</v>
      </c>
    </row>
    <row r="96" spans="1:4">
      <c r="A96" s="38">
        <v>0.17</v>
      </c>
      <c r="B96" s="37">
        <v>10.578946999999999</v>
      </c>
      <c r="C96" s="37">
        <v>4.0036684999999999</v>
      </c>
      <c r="D96" s="37">
        <v>6.8650865999999997</v>
      </c>
    </row>
    <row r="97" spans="1:4">
      <c r="A97" s="38">
        <v>0.18</v>
      </c>
      <c r="B97" s="37">
        <v>10.499231</v>
      </c>
      <c r="C97" s="37">
        <v>3.9739928</v>
      </c>
      <c r="D97" s="37">
        <v>6.8048916999999998</v>
      </c>
    </row>
    <row r="98" spans="1:4">
      <c r="A98" s="38">
        <v>0.19</v>
      </c>
      <c r="B98" s="37">
        <v>10.426753</v>
      </c>
      <c r="C98" s="37">
        <v>3.9459013000000001</v>
      </c>
      <c r="D98" s="37">
        <v>6.7490395000000003</v>
      </c>
    </row>
    <row r="99" spans="1:4">
      <c r="A99" s="38">
        <v>0.2</v>
      </c>
      <c r="B99" s="37">
        <v>10.360571</v>
      </c>
      <c r="C99" s="37">
        <v>3.9192705999999999</v>
      </c>
      <c r="D99" s="37">
        <v>6.6970763</v>
      </c>
    </row>
    <row r="104" spans="1:4">
      <c r="A104" s="36" t="s">
        <v>21</v>
      </c>
      <c r="B104" s="135" t="s">
        <v>11</v>
      </c>
      <c r="C104" s="135"/>
      <c r="D104" s="135"/>
    </row>
    <row r="105" spans="1:4">
      <c r="A105" s="37"/>
      <c r="B105" s="36" t="s">
        <v>17</v>
      </c>
      <c r="C105" s="36" t="s">
        <v>18</v>
      </c>
      <c r="D105" s="36" t="s">
        <v>19</v>
      </c>
    </row>
    <row r="106" spans="1:4">
      <c r="A106" s="37">
        <v>1</v>
      </c>
      <c r="B106" s="37">
        <v>1</v>
      </c>
      <c r="C106" s="37">
        <v>1</v>
      </c>
      <c r="D106" s="37">
        <v>1</v>
      </c>
    </row>
    <row r="107" spans="1:4">
      <c r="A107" s="37">
        <v>5</v>
      </c>
      <c r="B107" s="37">
        <v>4.7454203000000001</v>
      </c>
      <c r="C107" s="37">
        <v>4.6452419999999996</v>
      </c>
      <c r="D107" s="37">
        <v>4.6245700000000003</v>
      </c>
    </row>
    <row r="108" spans="1:4">
      <c r="A108" s="40">
        <v>10</v>
      </c>
      <c r="B108" s="37">
        <v>8.8275836000000005</v>
      </c>
      <c r="C108" s="37">
        <v>8.4890550000000005</v>
      </c>
      <c r="D108" s="37">
        <v>8.4583589999999997</v>
      </c>
    </row>
    <row r="109" spans="1:4">
      <c r="A109" s="37">
        <v>15</v>
      </c>
      <c r="B109" s="37">
        <v>12.230715</v>
      </c>
      <c r="C109" s="37">
        <v>11.66071</v>
      </c>
      <c r="D109" s="37">
        <v>11.688840000000001</v>
      </c>
    </row>
    <row r="110" spans="1:4">
      <c r="A110" s="37">
        <v>20</v>
      </c>
      <c r="B110" s="37">
        <v>14.978043</v>
      </c>
      <c r="C110" s="37">
        <v>14.27154</v>
      </c>
      <c r="D110" s="37">
        <v>14.445040000000001</v>
      </c>
    </row>
    <row r="111" spans="1:4">
      <c r="A111" s="37">
        <v>25</v>
      </c>
      <c r="B111" s="37">
        <v>17.124345000000002</v>
      </c>
      <c r="C111" s="37">
        <v>16.416429999999998</v>
      </c>
      <c r="D111" s="37">
        <v>16.819199999999999</v>
      </c>
    </row>
    <row r="112" spans="1:4">
      <c r="A112" s="37">
        <v>30</v>
      </c>
      <c r="B112" s="37">
        <v>18.745183999999998</v>
      </c>
      <c r="C112" s="37">
        <v>18.17559</v>
      </c>
      <c r="D112" s="37">
        <v>18.879449999999999</v>
      </c>
    </row>
    <row r="113" spans="1:4">
      <c r="A113" s="37">
        <v>35</v>
      </c>
      <c r="B113" s="37">
        <v>19.925723999999999</v>
      </c>
      <c r="C113" s="37">
        <v>19.616379999999999</v>
      </c>
      <c r="D113" s="37">
        <v>20.67756</v>
      </c>
    </row>
    <row r="114" spans="1:4">
      <c r="A114" s="37">
        <v>40</v>
      </c>
      <c r="B114" s="37">
        <v>20.751242999999999</v>
      </c>
      <c r="C114" s="37">
        <v>20.795020000000001</v>
      </c>
      <c r="D114" s="37">
        <v>22.253869999999999</v>
      </c>
    </row>
    <row r="115" spans="1:4">
      <c r="A115" s="37">
        <v>45</v>
      </c>
      <c r="B115" s="37">
        <v>21.300450000000001</v>
      </c>
      <c r="C115" s="37">
        <v>21.75826</v>
      </c>
      <c r="D115" s="37">
        <v>23.64048</v>
      </c>
    </row>
    <row r="116" spans="1:4">
      <c r="A116" s="37">
        <v>50</v>
      </c>
      <c r="B116" s="37">
        <v>21.641673000000001</v>
      </c>
      <c r="C116" s="37">
        <v>22.544799999999999</v>
      </c>
      <c r="D116" s="37">
        <v>24.863420000000001</v>
      </c>
    </row>
    <row r="117" spans="1:4">
      <c r="A117" s="37">
        <v>55</v>
      </c>
      <c r="B117" s="37">
        <v>21.831434000000002</v>
      </c>
      <c r="C117" s="37">
        <v>23.186610000000002</v>
      </c>
      <c r="D117" s="37">
        <v>25.94416</v>
      </c>
    </row>
    <row r="118" spans="1:4">
      <c r="A118" s="37">
        <v>60</v>
      </c>
      <c r="B118" s="37">
        <v>21.914671999999999</v>
      </c>
      <c r="C118" s="37">
        <v>23.709990000000001</v>
      </c>
      <c r="D118" s="37">
        <v>26.900670000000002</v>
      </c>
    </row>
    <row r="127" spans="1:4">
      <c r="A127" s="41" t="s">
        <v>6</v>
      </c>
      <c r="B127" s="7" t="s">
        <v>22</v>
      </c>
      <c r="C127" s="7" t="s">
        <v>23</v>
      </c>
      <c r="D127" s="7" t="s">
        <v>24</v>
      </c>
    </row>
    <row r="128" spans="1:4">
      <c r="B128" s="10">
        <v>413066.84</v>
      </c>
      <c r="C128" s="10">
        <v>396438.54</v>
      </c>
      <c r="D128" s="10">
        <v>551181.22</v>
      </c>
    </row>
    <row r="129" spans="1:4">
      <c r="A129" s="3">
        <v>0.01</v>
      </c>
      <c r="B129">
        <v>762409.97699999996</v>
      </c>
      <c r="C129">
        <v>454358.43</v>
      </c>
      <c r="D129">
        <v>651540.87199999997</v>
      </c>
    </row>
    <row r="130" spans="1:4">
      <c r="A130" s="3">
        <v>1.4999999999999999E-2</v>
      </c>
      <c r="B130">
        <v>703011.83299999998</v>
      </c>
      <c r="C130">
        <v>444000.33399999997</v>
      </c>
      <c r="D130">
        <v>624499.49100000004</v>
      </c>
    </row>
    <row r="131" spans="1:4">
      <c r="A131" s="3">
        <v>0.02</v>
      </c>
      <c r="B131">
        <v>649054.30000000005</v>
      </c>
      <c r="C131">
        <v>433936.908</v>
      </c>
      <c r="D131">
        <v>598808.43500000006</v>
      </c>
    </row>
    <row r="132" spans="1:4">
      <c r="A132" s="3">
        <v>2.5000000000000001E-2</v>
      </c>
      <c r="B132">
        <v>600000</v>
      </c>
      <c r="C132">
        <v>424158.30800000002</v>
      </c>
      <c r="D132">
        <v>574392.54299999995</v>
      </c>
    </row>
    <row r="133" spans="1:4">
      <c r="A133" s="3">
        <v>0.03</v>
      </c>
      <c r="B133">
        <v>555367.57499999995</v>
      </c>
      <c r="C133">
        <v>414655.06300000002</v>
      </c>
      <c r="D133">
        <v>551181.21699999995</v>
      </c>
    </row>
    <row r="134" spans="1:4">
      <c r="A134" s="3">
        <v>3.5000000000000003E-2</v>
      </c>
      <c r="B134">
        <v>514725.58</v>
      </c>
      <c r="C134">
        <v>405418.06300000002</v>
      </c>
      <c r="D134">
        <v>529108.11899999995</v>
      </c>
    </row>
    <row r="135" spans="1:4">
      <c r="A135" s="3">
        <v>0.04</v>
      </c>
      <c r="B135">
        <v>477687.06300000002</v>
      </c>
      <c r="C135">
        <v>396438.54200000002</v>
      </c>
      <c r="D135">
        <v>508110.89600000001</v>
      </c>
    </row>
    <row r="136" spans="1:4">
      <c r="A136" s="3">
        <v>4.4999999999999998E-2</v>
      </c>
      <c r="B136">
        <v>443904.76299999998</v>
      </c>
      <c r="C136">
        <v>387708.065</v>
      </c>
      <c r="D136">
        <v>488130.92300000001</v>
      </c>
    </row>
    <row r="137" spans="1:4">
      <c r="A137" s="3">
        <v>0.05</v>
      </c>
      <c r="B137">
        <v>413066.84499999997</v>
      </c>
      <c r="C137">
        <v>379218.51199999999</v>
      </c>
      <c r="D137">
        <v>469113.06</v>
      </c>
    </row>
    <row r="138" spans="1:4">
      <c r="A138" s="3">
        <v>5.5E-2</v>
      </c>
      <c r="B138">
        <v>384893.11499999999</v>
      </c>
      <c r="C138">
        <v>370962.06599999999</v>
      </c>
      <c r="D138">
        <v>451005.43199999997</v>
      </c>
    </row>
    <row r="139" spans="1:4">
      <c r="A139" s="3">
        <v>0.06</v>
      </c>
      <c r="B139">
        <v>359131.65399999998</v>
      </c>
      <c r="C139">
        <v>362931.19900000002</v>
      </c>
      <c r="D139">
        <v>433759.217</v>
      </c>
    </row>
    <row r="140" spans="1:4">
      <c r="A140" s="3">
        <v>6.5000000000000002E-2</v>
      </c>
      <c r="B140">
        <v>335555.826</v>
      </c>
      <c r="C140">
        <v>355118.66200000001</v>
      </c>
      <c r="D140">
        <v>417328.45199999999</v>
      </c>
    </row>
    <row r="141" spans="1:4">
      <c r="A141" s="3">
        <v>7.0000000000000007E-2</v>
      </c>
      <c r="B141">
        <v>313961.61499999999</v>
      </c>
      <c r="C141">
        <v>347517.473</v>
      </c>
      <c r="D141">
        <v>401669.85800000001</v>
      </c>
    </row>
    <row r="142" spans="1:4">
      <c r="A142" s="3">
        <v>7.4999999999999997E-2</v>
      </c>
      <c r="B142">
        <v>294165.25900000002</v>
      </c>
      <c r="C142">
        <v>340120.90299999999</v>
      </c>
      <c r="D142">
        <v>386742.66399999999</v>
      </c>
    </row>
    <row r="143" spans="1:4">
      <c r="A143" s="3">
        <v>0.08</v>
      </c>
      <c r="B143">
        <v>276001.136</v>
      </c>
      <c r="C143">
        <v>332922.47100000002</v>
      </c>
      <c r="D143">
        <v>372508.45299999998</v>
      </c>
    </row>
    <row r="144" spans="1:4">
      <c r="A144" s="3">
        <v>8.5000000000000006E-2</v>
      </c>
      <c r="B144">
        <v>259319.88200000001</v>
      </c>
      <c r="C144">
        <v>325915.929</v>
      </c>
      <c r="D144">
        <v>358931.01699999999</v>
      </c>
    </row>
    <row r="145" spans="1:5">
      <c r="A145" s="3">
        <v>0.09</v>
      </c>
      <c r="B145">
        <v>243986.71900000001</v>
      </c>
      <c r="C145">
        <v>319095.25400000002</v>
      </c>
      <c r="D145">
        <v>345976.21500000003</v>
      </c>
    </row>
    <row r="146" spans="1:5">
      <c r="A146" s="3">
        <v>9.5000000000000001E-2</v>
      </c>
      <c r="B146">
        <v>229879.951</v>
      </c>
      <c r="C146">
        <v>312454.64</v>
      </c>
      <c r="D146">
        <v>333611.85200000001</v>
      </c>
    </row>
    <row r="147" spans="1:5">
      <c r="A147" s="3">
        <v>0.1</v>
      </c>
      <c r="B147">
        <v>216889.633</v>
      </c>
      <c r="C147">
        <v>305988.48800000001</v>
      </c>
      <c r="D147">
        <v>321807.554</v>
      </c>
    </row>
    <row r="148" spans="1:5">
      <c r="A148" s="3">
        <v>0.105</v>
      </c>
      <c r="B148">
        <v>204916.372</v>
      </c>
      <c r="C148">
        <v>299691.40000000002</v>
      </c>
      <c r="D148">
        <v>310534.65899999999</v>
      </c>
    </row>
    <row r="149" spans="1:5">
      <c r="A149" s="3">
        <v>0.11</v>
      </c>
      <c r="B149">
        <v>193870.266</v>
      </c>
      <c r="C149">
        <v>293558.16600000003</v>
      </c>
      <c r="D149">
        <v>299766.11200000002</v>
      </c>
    </row>
    <row r="150" spans="1:5">
      <c r="A150" s="3"/>
    </row>
    <row r="151" spans="1:5">
      <c r="A151" t="s">
        <v>25</v>
      </c>
    </row>
    <row r="153" spans="1:5" ht="17.399999999999999">
      <c r="A153" s="136" t="s">
        <v>26</v>
      </c>
      <c r="B153" s="136"/>
      <c r="C153" s="136"/>
      <c r="D153" s="136"/>
      <c r="E153" s="136"/>
    </row>
    <row r="154" spans="1:5">
      <c r="A154" s="7" t="s">
        <v>27</v>
      </c>
      <c r="B154" s="42">
        <v>0.05</v>
      </c>
      <c r="C154" s="43">
        <v>0.04</v>
      </c>
      <c r="D154" s="42">
        <v>0.03</v>
      </c>
      <c r="E154" s="7"/>
    </row>
    <row r="155" spans="1:5">
      <c r="A155" s="7"/>
      <c r="B155" s="1" t="s">
        <v>28</v>
      </c>
      <c r="C155" s="1" t="s">
        <v>29</v>
      </c>
      <c r="D155" s="1" t="s">
        <v>30</v>
      </c>
      <c r="E155" s="7"/>
    </row>
    <row r="156" spans="1:5">
      <c r="A156" s="7" t="s">
        <v>31</v>
      </c>
      <c r="B156" s="43">
        <v>2.5000000000000001E-2</v>
      </c>
      <c r="C156" s="43">
        <v>3.7999999999999999E-2</v>
      </c>
      <c r="D156" s="43">
        <v>4.2000000000000003E-2</v>
      </c>
      <c r="E156" s="7"/>
    </row>
    <row r="157" spans="1:5">
      <c r="A157" s="7" t="s">
        <v>1</v>
      </c>
      <c r="B157" s="7">
        <v>20</v>
      </c>
      <c r="C157" s="7">
        <v>5</v>
      </c>
      <c r="D157" s="7">
        <v>10</v>
      </c>
      <c r="E157" s="7"/>
    </row>
    <row r="158" spans="1:5">
      <c r="A158" s="7" t="s">
        <v>32</v>
      </c>
      <c r="B158" s="44">
        <v>600000</v>
      </c>
      <c r="C158" s="44">
        <v>400000</v>
      </c>
      <c r="D158" s="44">
        <v>500000</v>
      </c>
      <c r="E158" s="7"/>
    </row>
    <row r="159" spans="1:5">
      <c r="A159" s="41" t="s">
        <v>33</v>
      </c>
      <c r="B159" s="45">
        <v>413066.84</v>
      </c>
      <c r="C159" s="45">
        <v>396438.54</v>
      </c>
      <c r="D159" s="45">
        <v>551181.22</v>
      </c>
      <c r="E159" s="49"/>
    </row>
    <row r="160" spans="1:5">
      <c r="A160" s="7" t="s">
        <v>34</v>
      </c>
      <c r="B160" s="10">
        <v>1452.55</v>
      </c>
      <c r="C160" s="10">
        <v>1008.98</v>
      </c>
      <c r="D160" s="10">
        <v>907.14</v>
      </c>
      <c r="E160" s="49"/>
    </row>
    <row r="161" spans="1:5">
      <c r="A161" s="41" t="s">
        <v>11</v>
      </c>
      <c r="B161" s="41">
        <v>14.978</v>
      </c>
      <c r="C161" s="41">
        <v>4.6452</v>
      </c>
      <c r="D161" s="41">
        <v>8.4583999999999993</v>
      </c>
      <c r="E161" s="49"/>
    </row>
    <row r="162" spans="1:5">
      <c r="A162" s="7"/>
      <c r="B162" s="7"/>
      <c r="C162" s="7"/>
      <c r="D162" s="7"/>
      <c r="E162" s="7"/>
    </row>
    <row r="163" spans="1:5">
      <c r="A163" s="7" t="s">
        <v>35</v>
      </c>
      <c r="B163" s="7"/>
      <c r="C163" s="7"/>
      <c r="D163" s="7"/>
      <c r="E163" s="7"/>
    </row>
    <row r="164" spans="1:5">
      <c r="A164" s="7" t="s">
        <v>36</v>
      </c>
      <c r="B164" s="46">
        <v>0.02</v>
      </c>
      <c r="C164" s="7"/>
      <c r="D164" s="7"/>
      <c r="E164" s="7"/>
    </row>
    <row r="165" spans="1:5">
      <c r="A165" s="7"/>
      <c r="B165" s="1" t="s">
        <v>28</v>
      </c>
      <c r="C165" s="1" t="s">
        <v>29</v>
      </c>
      <c r="D165" s="1" t="s">
        <v>30</v>
      </c>
      <c r="E165" s="7"/>
    </row>
    <row r="166" spans="1:5">
      <c r="A166" s="7" t="s">
        <v>33</v>
      </c>
      <c r="B166" s="47">
        <v>626947.76</v>
      </c>
      <c r="C166" s="47">
        <v>362530.91</v>
      </c>
      <c r="D166" s="47">
        <v>500000</v>
      </c>
      <c r="E166" s="49"/>
    </row>
    <row r="167" spans="1:5">
      <c r="A167" s="7" t="s">
        <v>37</v>
      </c>
      <c r="B167" s="47">
        <v>164245.81</v>
      </c>
      <c r="C167" s="47">
        <v>166435.76</v>
      </c>
      <c r="D167" s="47">
        <v>229944.14</v>
      </c>
      <c r="E167" s="49"/>
    </row>
    <row r="168" spans="1:5">
      <c r="A168" s="1" t="s">
        <v>38</v>
      </c>
      <c r="B168" s="47">
        <v>791193.57</v>
      </c>
      <c r="C168" s="47">
        <v>528966.67000000004</v>
      </c>
      <c r="D168" s="47">
        <v>729944.14</v>
      </c>
      <c r="E168" s="49"/>
    </row>
    <row r="169" spans="1:5">
      <c r="A169" s="7" t="s">
        <v>39</v>
      </c>
      <c r="B169" s="3">
        <v>2.3999999999999998E-3</v>
      </c>
      <c r="C169" s="3">
        <v>2.5000000000000001E-3</v>
      </c>
      <c r="D169" s="3">
        <v>1.8E-3</v>
      </c>
      <c r="E169" s="49"/>
    </row>
    <row r="170" spans="1:5">
      <c r="A170" s="41" t="s">
        <v>40</v>
      </c>
      <c r="B170" s="45">
        <v>1915.41</v>
      </c>
      <c r="C170" s="45">
        <v>1334.3</v>
      </c>
      <c r="D170" s="45">
        <v>1324.33</v>
      </c>
      <c r="E170" s="49"/>
    </row>
    <row r="171" spans="1:5">
      <c r="A171" s="1"/>
      <c r="E171" s="7"/>
    </row>
    <row r="172" spans="1:5">
      <c r="A172" s="7" t="s">
        <v>41</v>
      </c>
      <c r="B172" s="7"/>
      <c r="C172" s="7"/>
      <c r="D172" s="7"/>
      <c r="E172" s="7"/>
    </row>
    <row r="173" spans="1:5">
      <c r="A173" s="1" t="s">
        <v>42</v>
      </c>
      <c r="B173" s="1" t="s">
        <v>28</v>
      </c>
      <c r="C173" s="1" t="s">
        <v>29</v>
      </c>
      <c r="D173" s="1" t="s">
        <v>30</v>
      </c>
      <c r="E173" s="7"/>
    </row>
    <row r="174" spans="1:5">
      <c r="A174" s="7"/>
      <c r="B174" s="7"/>
      <c r="C174" s="7"/>
      <c r="D174" s="7"/>
      <c r="E174" s="49"/>
    </row>
    <row r="175" spans="1:5">
      <c r="A175" s="42">
        <v>0</v>
      </c>
      <c r="B175" s="48">
        <v>2179</v>
      </c>
      <c r="C175" s="48">
        <v>1201</v>
      </c>
      <c r="D175" s="48">
        <v>1288</v>
      </c>
      <c r="E175" s="7"/>
    </row>
    <row r="176" spans="1:5">
      <c r="A176" s="42">
        <v>0.01</v>
      </c>
      <c r="B176" s="48">
        <v>2039</v>
      </c>
      <c r="C176" s="48">
        <v>1266</v>
      </c>
      <c r="D176" s="48">
        <v>1306</v>
      </c>
      <c r="E176" s="7"/>
    </row>
    <row r="177" spans="1:5">
      <c r="A177" s="42">
        <v>0.02</v>
      </c>
      <c r="B177" s="48">
        <v>1915</v>
      </c>
      <c r="C177" s="48">
        <v>1334</v>
      </c>
      <c r="D177" s="48">
        <v>1324</v>
      </c>
      <c r="E177" s="7"/>
    </row>
    <row r="178" spans="1:5">
      <c r="A178" s="42">
        <v>0.03</v>
      </c>
      <c r="B178" s="48">
        <v>1807</v>
      </c>
      <c r="C178" s="48">
        <v>1406</v>
      </c>
      <c r="D178" s="48">
        <v>1344</v>
      </c>
      <c r="E178" s="7"/>
    </row>
    <row r="179" spans="1:5">
      <c r="A179" s="42">
        <v>0.04</v>
      </c>
      <c r="B179" s="48">
        <v>1712</v>
      </c>
      <c r="C179" s="48">
        <v>1480</v>
      </c>
      <c r="D179" s="48">
        <v>1365</v>
      </c>
      <c r="E179" s="7"/>
    </row>
    <row r="180" spans="1:5">
      <c r="A180" s="42">
        <v>0.05</v>
      </c>
      <c r="B180" s="48">
        <v>1629</v>
      </c>
      <c r="C180" s="48">
        <v>1558</v>
      </c>
      <c r="D180" s="48">
        <v>1386</v>
      </c>
      <c r="E180" s="7"/>
    </row>
    <row r="181" spans="1:5">
      <c r="A181" s="42">
        <v>0.06</v>
      </c>
      <c r="B181" s="48">
        <v>1557</v>
      </c>
      <c r="C181" s="48">
        <v>1639</v>
      </c>
      <c r="D181" s="48">
        <v>1409</v>
      </c>
      <c r="E181" s="7"/>
    </row>
    <row r="182" spans="1:5">
      <c r="A182" s="42">
        <v>7.0000000000000007E-2</v>
      </c>
      <c r="B182" s="48">
        <v>1495</v>
      </c>
      <c r="C182" s="48">
        <v>1724</v>
      </c>
      <c r="D182" s="48">
        <v>1434</v>
      </c>
      <c r="E182" s="7"/>
    </row>
    <row r="183" spans="1:5">
      <c r="A183" s="42">
        <v>0.08</v>
      </c>
      <c r="B183" s="48">
        <v>1443</v>
      </c>
      <c r="C183" s="48">
        <v>1813</v>
      </c>
      <c r="D183" s="48">
        <v>1459</v>
      </c>
      <c r="E183" s="7"/>
    </row>
    <row r="184" spans="1:5">
      <c r="A184" s="42">
        <v>0.09</v>
      </c>
      <c r="B184" s="48">
        <v>1398</v>
      </c>
      <c r="C184" s="48">
        <v>1906</v>
      </c>
      <c r="D184" s="48">
        <v>1486</v>
      </c>
      <c r="E184" s="7"/>
    </row>
    <row r="185" spans="1:5">
      <c r="A185" s="42">
        <v>0.1</v>
      </c>
      <c r="B185" s="48">
        <v>1362</v>
      </c>
      <c r="C185" s="48">
        <v>2002</v>
      </c>
      <c r="D185" s="48">
        <v>1514</v>
      </c>
      <c r="E185" s="7"/>
    </row>
    <row r="186" spans="1:5">
      <c r="A186" s="42">
        <v>0.11</v>
      </c>
      <c r="B186" s="48">
        <v>1333</v>
      </c>
      <c r="C186" s="48">
        <v>2103</v>
      </c>
      <c r="D186" s="48">
        <v>1544</v>
      </c>
      <c r="E186" s="7"/>
    </row>
    <row r="187" spans="1:5">
      <c r="A187" s="42">
        <v>0.12</v>
      </c>
      <c r="B187" s="48">
        <v>1310</v>
      </c>
      <c r="C187" s="48">
        <v>2207</v>
      </c>
      <c r="D187" s="48">
        <v>1576</v>
      </c>
      <c r="E187" s="7"/>
    </row>
    <row r="188" spans="1:5">
      <c r="A188" s="42">
        <v>0.13</v>
      </c>
      <c r="B188" s="48">
        <v>1294</v>
      </c>
      <c r="C188" s="48">
        <v>2317</v>
      </c>
      <c r="D188" s="48">
        <v>1609</v>
      </c>
      <c r="E188" s="7"/>
    </row>
    <row r="189" spans="1:5">
      <c r="A189" s="42">
        <v>0.14000000000000001</v>
      </c>
      <c r="B189" s="48">
        <v>1283</v>
      </c>
      <c r="C189" s="48">
        <v>2431</v>
      </c>
      <c r="D189" s="48">
        <v>1644</v>
      </c>
      <c r="E189" s="7"/>
    </row>
    <row r="190" spans="1:5">
      <c r="A190" s="42">
        <v>0.15</v>
      </c>
      <c r="B190" s="48">
        <v>1279</v>
      </c>
      <c r="C190" s="48">
        <v>2549</v>
      </c>
      <c r="D190" s="48">
        <v>1681</v>
      </c>
      <c r="E190" s="7"/>
    </row>
    <row r="191" spans="1:5">
      <c r="A191" s="7"/>
      <c r="B191" s="7"/>
      <c r="C191" s="7"/>
      <c r="D191" s="7"/>
      <c r="E191" s="7"/>
    </row>
    <row r="192" spans="1:5">
      <c r="A192" s="7"/>
      <c r="B192" s="7" t="s">
        <v>17</v>
      </c>
      <c r="C192" s="7" t="s">
        <v>18</v>
      </c>
      <c r="D192" s="7" t="s">
        <v>43</v>
      </c>
      <c r="E192" s="7"/>
    </row>
    <row r="193" spans="1:7">
      <c r="A193" s="7" t="s">
        <v>44</v>
      </c>
      <c r="B193" s="7">
        <v>14.978</v>
      </c>
      <c r="C193" s="7">
        <v>4.6452</v>
      </c>
      <c r="D193" s="7">
        <v>8.4583999999999993</v>
      </c>
      <c r="E193" s="7"/>
    </row>
    <row r="194" spans="1:7">
      <c r="A194" s="7" t="s">
        <v>45</v>
      </c>
      <c r="B194" s="42">
        <v>0.4</v>
      </c>
      <c r="C194" s="42">
        <v>0.27</v>
      </c>
      <c r="D194" s="43">
        <v>0.33329999999999999</v>
      </c>
      <c r="E194" s="7"/>
    </row>
    <row r="195" spans="1:7">
      <c r="A195" s="7"/>
      <c r="B195" s="7">
        <v>5.9163271679999996</v>
      </c>
      <c r="C195" s="7">
        <v>1.262112203</v>
      </c>
      <c r="D195" s="7">
        <v>2.8191709390000002</v>
      </c>
      <c r="E195" s="7">
        <v>10</v>
      </c>
    </row>
    <row r="197" spans="1:7" ht="13.8">
      <c r="A197" s="28" t="s">
        <v>31</v>
      </c>
      <c r="B197" s="29">
        <v>0.05</v>
      </c>
      <c r="C197" s="28"/>
      <c r="D197" s="28"/>
      <c r="E197" s="28"/>
      <c r="F197" s="28"/>
      <c r="G197" s="28"/>
    </row>
    <row r="198" spans="1:7" ht="12.9" customHeight="1">
      <c r="A198" s="28" t="s">
        <v>32</v>
      </c>
      <c r="B198" s="132">
        <v>1000</v>
      </c>
      <c r="C198" s="28"/>
      <c r="D198" s="28"/>
      <c r="E198" s="28"/>
      <c r="F198" s="137" t="s">
        <v>46</v>
      </c>
      <c r="G198" s="28"/>
    </row>
    <row r="199" spans="1:7" ht="12.9" customHeight="1">
      <c r="A199" s="28"/>
      <c r="B199" s="28"/>
      <c r="C199" s="28"/>
      <c r="D199" s="28"/>
      <c r="E199" s="28"/>
      <c r="F199" s="138"/>
      <c r="G199" s="28"/>
    </row>
    <row r="200" spans="1:7" ht="13.8">
      <c r="A200" s="32" t="s">
        <v>47</v>
      </c>
      <c r="B200" s="32">
        <v>1</v>
      </c>
      <c r="C200" s="32">
        <v>2</v>
      </c>
      <c r="D200" s="32">
        <v>3</v>
      </c>
      <c r="E200" s="32">
        <v>4</v>
      </c>
      <c r="F200" s="28"/>
      <c r="G200" s="28"/>
    </row>
    <row r="201" spans="1:7" ht="13.8">
      <c r="A201" s="28" t="s">
        <v>48</v>
      </c>
      <c r="B201" s="132">
        <v>1000</v>
      </c>
      <c r="C201" s="28">
        <v>995.49</v>
      </c>
      <c r="D201" s="28">
        <v>989.08</v>
      </c>
      <c r="E201" s="28">
        <v>982.63</v>
      </c>
      <c r="F201" s="28"/>
      <c r="G201" s="28"/>
    </row>
    <row r="202" spans="1:7" ht="13.8">
      <c r="A202" s="28" t="s">
        <v>49</v>
      </c>
      <c r="B202" s="30">
        <v>0.05</v>
      </c>
      <c r="C202" s="30">
        <v>5.2400000000000002E-2</v>
      </c>
      <c r="D202" s="30">
        <v>5.3999999999999999E-2</v>
      </c>
      <c r="E202" s="30">
        <v>5.5E-2</v>
      </c>
      <c r="F202" s="28" t="s">
        <v>50</v>
      </c>
      <c r="G202" s="28"/>
    </row>
    <row r="203" spans="1:7" ht="12.9" customHeight="1">
      <c r="A203" s="28" t="s">
        <v>51</v>
      </c>
      <c r="B203" s="132">
        <v>1000</v>
      </c>
      <c r="C203" s="28">
        <v>947.87</v>
      </c>
      <c r="D203" s="28">
        <v>896.33</v>
      </c>
      <c r="E203" s="28">
        <v>847.19</v>
      </c>
      <c r="F203" s="134" t="s">
        <v>52</v>
      </c>
      <c r="G203" s="134"/>
    </row>
    <row r="204" spans="1:7" ht="13.8">
      <c r="A204" s="28" t="s">
        <v>53</v>
      </c>
      <c r="B204" s="30">
        <v>0.05</v>
      </c>
      <c r="C204" s="30">
        <v>5.2499999999999998E-2</v>
      </c>
      <c r="D204" s="30">
        <v>5.4199999999999998E-2</v>
      </c>
      <c r="E204" s="30">
        <v>5.5100000000000003E-2</v>
      </c>
      <c r="F204" s="28" t="s">
        <v>54</v>
      </c>
      <c r="G204" s="28"/>
    </row>
    <row r="205" spans="1:7" ht="13.8">
      <c r="A205" s="32" t="s">
        <v>55</v>
      </c>
      <c r="B205" s="133">
        <v>0.05</v>
      </c>
      <c r="C205" s="133">
        <v>5.5E-2</v>
      </c>
      <c r="D205" s="133">
        <v>5.7500000000000002E-2</v>
      </c>
      <c r="E205" s="133">
        <v>5.8000000000000003E-2</v>
      </c>
      <c r="F205" s="28" t="s">
        <v>56</v>
      </c>
      <c r="G205" s="28"/>
    </row>
    <row r="206" spans="1:7" ht="13.8">
      <c r="A206" s="28"/>
      <c r="B206" s="28"/>
      <c r="C206" s="28"/>
      <c r="D206" s="28"/>
      <c r="E206" s="28"/>
      <c r="F206" s="28"/>
      <c r="G206" s="28"/>
    </row>
  </sheetData>
  <mergeCells count="6">
    <mergeCell ref="F203:G203"/>
    <mergeCell ref="B54:D54"/>
    <mergeCell ref="B77:D77"/>
    <mergeCell ref="B104:D104"/>
    <mergeCell ref="A153:E153"/>
    <mergeCell ref="F198:F199"/>
  </mergeCells>
  <phoneticPr fontId="3" type="noConversion"/>
  <printOptions headings="1" gridLines="1"/>
  <pageMargins left="0.70866141732283505" right="0.70866141732283505" top="0.74803149606299202" bottom="0.74803149606299202" header="0.31496062992126" footer="0.31496062992126"/>
  <pageSetup orientation="portrait" cellComments="atEnd"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B42C2-9673-4BCF-9C08-2CC036D75196}">
  <dimension ref="A1:A10"/>
  <sheetViews>
    <sheetView workbookViewId="0">
      <selection activeCell="C18" sqref="C18"/>
    </sheetView>
  </sheetViews>
  <sheetFormatPr defaultColWidth="8.88671875" defaultRowHeight="13.2"/>
  <sheetData>
    <row r="1" spans="1:1">
      <c r="A1" t="s">
        <v>57</v>
      </c>
    </row>
    <row r="2" spans="1:1">
      <c r="A2" t="s">
        <v>58</v>
      </c>
    </row>
    <row r="3" spans="1:1">
      <c r="A3" t="s">
        <v>25</v>
      </c>
    </row>
    <row r="5" spans="1:1">
      <c r="A5" t="s">
        <v>59</v>
      </c>
    </row>
    <row r="6" spans="1:1">
      <c r="A6" t="s">
        <v>60</v>
      </c>
    </row>
    <row r="8" spans="1:1">
      <c r="A8" t="s">
        <v>61</v>
      </c>
    </row>
    <row r="9" spans="1:1">
      <c r="A9" t="s">
        <v>62</v>
      </c>
    </row>
    <row r="10" spans="1:1">
      <c r="A10" t="s">
        <v>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A7308-BBA3-4860-B6B7-EAE8F014EC8E}">
  <dimension ref="A1:F61"/>
  <sheetViews>
    <sheetView workbookViewId="0"/>
  </sheetViews>
  <sheetFormatPr defaultColWidth="12.44140625" defaultRowHeight="13.2"/>
  <cols>
    <col min="5" max="5" width="29.6640625" customWidth="1"/>
  </cols>
  <sheetData>
    <row r="1" spans="1:6" ht="15.6">
      <c r="A1" t="s">
        <v>64</v>
      </c>
      <c r="B1" t="s">
        <v>65</v>
      </c>
      <c r="C1" s="12" t="s">
        <v>66</v>
      </c>
    </row>
    <row r="2" spans="1:6" ht="15.6">
      <c r="A2" s="13">
        <v>43466</v>
      </c>
      <c r="B2">
        <v>39.937733000000001</v>
      </c>
      <c r="C2" s="14"/>
      <c r="E2" s="15" t="s">
        <v>67</v>
      </c>
      <c r="F2">
        <f>AVERAGE(C3:C61)</f>
        <v>2.6641341042507996E-2</v>
      </c>
    </row>
    <row r="3" spans="1:6" ht="15.6">
      <c r="A3" s="13">
        <v>43497</v>
      </c>
      <c r="B3">
        <v>41.547812999999998</v>
      </c>
      <c r="C3">
        <f>LN(B3/B2)</f>
        <v>3.9523318300564506E-2</v>
      </c>
      <c r="E3" s="15" t="s">
        <v>68</v>
      </c>
      <c r="F3">
        <f>_xlfn.VAR.S(C3:C61)</f>
        <v>7.3120730783643156E-3</v>
      </c>
    </row>
    <row r="4" spans="1:6" ht="15.6">
      <c r="A4" s="13">
        <v>43525</v>
      </c>
      <c r="B4">
        <v>45.77449</v>
      </c>
      <c r="C4">
        <f t="shared" ref="C4:C61" si="0">LN(B4/B3)</f>
        <v>9.688206450864438E-2</v>
      </c>
      <c r="E4" s="15" t="s">
        <v>69</v>
      </c>
      <c r="F4">
        <f>_xlfn.STDEV.S(C3:C61)</f>
        <v>8.551066061237228E-2</v>
      </c>
    </row>
    <row r="5" spans="1:6" ht="15.6">
      <c r="A5" s="13">
        <v>43556</v>
      </c>
      <c r="B5">
        <v>48.357821999999999</v>
      </c>
      <c r="C5">
        <f t="shared" si="0"/>
        <v>5.4901038465792154E-2</v>
      </c>
      <c r="E5" s="15"/>
    </row>
    <row r="6" spans="1:6" ht="15.6">
      <c r="A6" s="13">
        <v>43586</v>
      </c>
      <c r="B6">
        <v>42.188685999999997</v>
      </c>
      <c r="C6">
        <f t="shared" si="0"/>
        <v>-0.13647590668135262</v>
      </c>
      <c r="E6" s="15" t="s">
        <v>70</v>
      </c>
      <c r="F6">
        <f>12*F2</f>
        <v>0.31969609251009595</v>
      </c>
    </row>
    <row r="7" spans="1:6" ht="15.6">
      <c r="A7" s="13">
        <v>43617</v>
      </c>
      <c r="B7">
        <v>47.878788</v>
      </c>
      <c r="C7">
        <f t="shared" si="0"/>
        <v>0.12652048625598825</v>
      </c>
      <c r="E7" s="15" t="s">
        <v>71</v>
      </c>
      <c r="F7">
        <f>12*F3</f>
        <v>8.774487694037178E-2</v>
      </c>
    </row>
    <row r="8" spans="1:6" ht="15.6">
      <c r="A8" s="13">
        <v>43647</v>
      </c>
      <c r="B8">
        <v>51.536468999999997</v>
      </c>
      <c r="C8">
        <f t="shared" si="0"/>
        <v>7.3617125895904065E-2</v>
      </c>
      <c r="E8" s="15" t="s">
        <v>72</v>
      </c>
      <c r="F8">
        <f>SQRT(12)*F4</f>
        <v>0.29621761753881515</v>
      </c>
    </row>
    <row r="9" spans="1:6">
      <c r="A9" s="13">
        <v>43678</v>
      </c>
      <c r="B9">
        <v>50.496262000000002</v>
      </c>
      <c r="C9">
        <f t="shared" si="0"/>
        <v>-2.0390379242348589E-2</v>
      </c>
    </row>
    <row r="10" spans="1:6">
      <c r="A10" s="13">
        <v>43709</v>
      </c>
      <c r="B10">
        <v>54.386401999999997</v>
      </c>
      <c r="C10">
        <f t="shared" si="0"/>
        <v>7.4214845640853067E-2</v>
      </c>
    </row>
    <row r="11" spans="1:6">
      <c r="A11" s="13">
        <v>43739</v>
      </c>
      <c r="B11">
        <v>60.406135999999996</v>
      </c>
      <c r="C11">
        <f t="shared" si="0"/>
        <v>0.1049765298043024</v>
      </c>
    </row>
    <row r="12" spans="1:6">
      <c r="A12" s="13">
        <v>43770</v>
      </c>
      <c r="B12">
        <v>64.896034</v>
      </c>
      <c r="C12">
        <f t="shared" si="0"/>
        <v>7.1695823258824815E-2</v>
      </c>
    </row>
    <row r="13" spans="1:6">
      <c r="A13" s="13">
        <v>43800</v>
      </c>
      <c r="B13">
        <v>71.520820999999998</v>
      </c>
      <c r="C13">
        <f t="shared" si="0"/>
        <v>9.7202097662146256E-2</v>
      </c>
    </row>
    <row r="14" spans="1:6">
      <c r="A14" s="13">
        <v>43831</v>
      </c>
      <c r="B14">
        <v>75.383651999999998</v>
      </c>
      <c r="C14">
        <f t="shared" si="0"/>
        <v>5.2601824423724818E-2</v>
      </c>
    </row>
    <row r="15" spans="1:6">
      <c r="A15" s="13">
        <v>43862</v>
      </c>
      <c r="B15">
        <v>66.579018000000005</v>
      </c>
      <c r="C15">
        <f t="shared" si="0"/>
        <v>-0.12420095166540165</v>
      </c>
    </row>
    <row r="16" spans="1:6">
      <c r="A16" s="13">
        <v>43891</v>
      </c>
      <c r="B16">
        <v>62.081347999999998</v>
      </c>
      <c r="C16">
        <f t="shared" si="0"/>
        <v>-6.9943893307437305E-2</v>
      </c>
    </row>
    <row r="17" spans="1:3">
      <c r="A17" s="13">
        <v>43922</v>
      </c>
      <c r="B17">
        <v>71.727164999999999</v>
      </c>
      <c r="C17">
        <f t="shared" si="0"/>
        <v>0.14442395658848978</v>
      </c>
    </row>
    <row r="18" spans="1:3">
      <c r="A18" s="13">
        <v>43952</v>
      </c>
      <c r="B18">
        <v>77.620621</v>
      </c>
      <c r="C18">
        <f t="shared" si="0"/>
        <v>7.8963580278852294E-2</v>
      </c>
    </row>
    <row r="19" spans="1:3">
      <c r="A19" s="13">
        <v>43983</v>
      </c>
      <c r="B19">
        <v>89.301918000000001</v>
      </c>
      <c r="C19">
        <f t="shared" si="0"/>
        <v>0.14018983939120738</v>
      </c>
    </row>
    <row r="20" spans="1:3">
      <c r="A20" s="13">
        <v>44013</v>
      </c>
      <c r="B20">
        <v>104.04847700000001</v>
      </c>
      <c r="C20">
        <f t="shared" si="0"/>
        <v>0.15283394972356709</v>
      </c>
    </row>
    <row r="21" spans="1:3">
      <c r="A21" s="13">
        <v>44044</v>
      </c>
      <c r="B21">
        <v>126.35437</v>
      </c>
      <c r="C21">
        <f t="shared" si="0"/>
        <v>0.19423350416340887</v>
      </c>
    </row>
    <row r="22" spans="1:3">
      <c r="A22" s="13">
        <v>44075</v>
      </c>
      <c r="B22">
        <v>113.60417200000001</v>
      </c>
      <c r="C22">
        <f t="shared" si="0"/>
        <v>-0.10637018873746623</v>
      </c>
    </row>
    <row r="23" spans="1:3">
      <c r="A23" s="13">
        <v>44105</v>
      </c>
      <c r="B23">
        <v>106.78655999999999</v>
      </c>
      <c r="C23">
        <f t="shared" si="0"/>
        <v>-6.188815505419578E-2</v>
      </c>
    </row>
    <row r="24" spans="1:3">
      <c r="A24" s="13">
        <v>44136</v>
      </c>
      <c r="B24">
        <v>116.78246300000001</v>
      </c>
      <c r="C24">
        <f t="shared" si="0"/>
        <v>8.9480837662601592E-2</v>
      </c>
    </row>
    <row r="25" spans="1:3">
      <c r="A25" s="13">
        <v>44166</v>
      </c>
      <c r="B25">
        <v>130.387238</v>
      </c>
      <c r="C25">
        <f t="shared" si="0"/>
        <v>0.11019586303178794</v>
      </c>
    </row>
    <row r="26" spans="1:3">
      <c r="A26" s="13">
        <v>44197</v>
      </c>
      <c r="B26">
        <v>129.66992200000001</v>
      </c>
      <c r="C26">
        <f t="shared" si="0"/>
        <v>-5.5166165713392288E-3</v>
      </c>
    </row>
    <row r="27" spans="1:3">
      <c r="A27" s="13">
        <v>44228</v>
      </c>
      <c r="B27">
        <v>119.155602</v>
      </c>
      <c r="C27">
        <f t="shared" si="0"/>
        <v>-8.4561941228217335E-2</v>
      </c>
    </row>
    <row r="28" spans="1:3">
      <c r="A28" s="13">
        <v>44256</v>
      </c>
      <c r="B28">
        <v>120.209518</v>
      </c>
      <c r="C28">
        <f t="shared" si="0"/>
        <v>8.8059848529029698E-3</v>
      </c>
    </row>
    <row r="29" spans="1:3">
      <c r="A29" s="13">
        <v>44287</v>
      </c>
      <c r="B29">
        <v>129.37162799999999</v>
      </c>
      <c r="C29">
        <f t="shared" si="0"/>
        <v>7.345289625350683E-2</v>
      </c>
    </row>
    <row r="30" spans="1:3">
      <c r="A30" s="13">
        <v>44317</v>
      </c>
      <c r="B30">
        <v>122.630432</v>
      </c>
      <c r="C30">
        <f t="shared" si="0"/>
        <v>-5.3513885351983009E-2</v>
      </c>
    </row>
    <row r="31" spans="1:3">
      <c r="A31" s="13">
        <v>44348</v>
      </c>
      <c r="B31">
        <v>135.013184</v>
      </c>
      <c r="C31">
        <f t="shared" si="0"/>
        <v>9.6197218369465043E-2</v>
      </c>
    </row>
    <row r="32" spans="1:3">
      <c r="A32" s="13">
        <v>44378</v>
      </c>
      <c r="B32">
        <v>143.78668200000001</v>
      </c>
      <c r="C32">
        <f t="shared" si="0"/>
        <v>6.2958393325904416E-2</v>
      </c>
    </row>
    <row r="33" spans="1:3">
      <c r="A33" s="13">
        <v>44409</v>
      </c>
      <c r="B33">
        <v>149.671829</v>
      </c>
      <c r="C33">
        <f t="shared" si="0"/>
        <v>4.0114264428963785E-2</v>
      </c>
    </row>
    <row r="34" spans="1:3">
      <c r="A34" s="13">
        <v>44440</v>
      </c>
      <c r="B34">
        <v>139.69764699999999</v>
      </c>
      <c r="C34">
        <f t="shared" si="0"/>
        <v>-6.896466779863944E-2</v>
      </c>
    </row>
    <row r="35" spans="1:3">
      <c r="A35" s="13">
        <v>44470</v>
      </c>
      <c r="B35">
        <v>147.89192199999999</v>
      </c>
      <c r="C35">
        <f t="shared" si="0"/>
        <v>5.7001327354450043E-2</v>
      </c>
    </row>
    <row r="36" spans="1:3">
      <c r="A36" s="13">
        <v>44501</v>
      </c>
      <c r="B36">
        <v>163.19450399999999</v>
      </c>
      <c r="C36">
        <f t="shared" si="0"/>
        <v>9.8461015252340703E-2</v>
      </c>
    </row>
    <row r="37" spans="1:3">
      <c r="A37" s="13">
        <v>44531</v>
      </c>
      <c r="B37">
        <v>175.56405599999999</v>
      </c>
      <c r="C37">
        <f t="shared" si="0"/>
        <v>7.306120227338167E-2</v>
      </c>
    </row>
    <row r="38" spans="1:3">
      <c r="A38" s="13">
        <v>44562</v>
      </c>
      <c r="B38">
        <v>172.80555699999999</v>
      </c>
      <c r="C38">
        <f t="shared" si="0"/>
        <v>-1.5836953348040542E-2</v>
      </c>
    </row>
    <row r="39" spans="1:3">
      <c r="A39" s="13">
        <v>44593</v>
      </c>
      <c r="B39">
        <v>163.254684</v>
      </c>
      <c r="C39">
        <f t="shared" si="0"/>
        <v>-5.6855554482874195E-2</v>
      </c>
    </row>
    <row r="40" spans="1:3">
      <c r="A40" s="13">
        <v>44621</v>
      </c>
      <c r="B40">
        <v>172.85745199999999</v>
      </c>
      <c r="C40">
        <f t="shared" si="0"/>
        <v>5.7155818028806038E-2</v>
      </c>
    </row>
    <row r="41" spans="1:3">
      <c r="A41" s="13">
        <v>44652</v>
      </c>
      <c r="B41">
        <v>156.06764200000001</v>
      </c>
      <c r="C41">
        <f t="shared" si="0"/>
        <v>-0.10217776212841319</v>
      </c>
    </row>
    <row r="42" spans="1:3">
      <c r="A42" s="13">
        <v>44682</v>
      </c>
      <c r="B42">
        <v>147.346069</v>
      </c>
      <c r="C42">
        <f t="shared" si="0"/>
        <v>-5.7505484984977227E-2</v>
      </c>
    </row>
    <row r="43" spans="1:3">
      <c r="A43" s="13">
        <v>44713</v>
      </c>
      <c r="B43">
        <v>135.54660000000001</v>
      </c>
      <c r="C43">
        <f t="shared" si="0"/>
        <v>-8.3468538215349442E-2</v>
      </c>
    </row>
    <row r="44" spans="1:3">
      <c r="A44" s="13">
        <v>44743</v>
      </c>
      <c r="B44">
        <v>161.11525</v>
      </c>
      <c r="C44">
        <f t="shared" si="0"/>
        <v>0.17280445476871337</v>
      </c>
    </row>
    <row r="45" spans="1:3">
      <c r="A45" s="13">
        <v>44774</v>
      </c>
      <c r="B45">
        <v>155.870667</v>
      </c>
      <c r="C45">
        <f t="shared" si="0"/>
        <v>-3.3093341704764231E-2</v>
      </c>
    </row>
    <row r="46" spans="1:3">
      <c r="A46" s="13">
        <v>44805</v>
      </c>
      <c r="B46">
        <v>137.20422400000001</v>
      </c>
      <c r="C46">
        <f t="shared" si="0"/>
        <v>-0.12755610370895393</v>
      </c>
    </row>
    <row r="47" spans="1:3">
      <c r="A47" s="13">
        <v>44835</v>
      </c>
      <c r="B47">
        <v>152.23512299999999</v>
      </c>
      <c r="C47">
        <f t="shared" si="0"/>
        <v>0.10395568554005882</v>
      </c>
    </row>
    <row r="48" spans="1:3">
      <c r="A48" s="13">
        <v>44866</v>
      </c>
      <c r="B48">
        <v>146.963379</v>
      </c>
      <c r="C48">
        <f t="shared" si="0"/>
        <v>-3.5242754236335425E-2</v>
      </c>
    </row>
    <row r="49" spans="1:3">
      <c r="A49" s="13">
        <v>44896</v>
      </c>
      <c r="B49">
        <v>129.20777899999999</v>
      </c>
      <c r="C49">
        <f t="shared" si="0"/>
        <v>-0.128761634779263</v>
      </c>
    </row>
    <row r="50" spans="1:3">
      <c r="A50" s="13">
        <v>44927</v>
      </c>
      <c r="B50">
        <v>143.48796100000001</v>
      </c>
      <c r="C50">
        <f t="shared" si="0"/>
        <v>0.10482933769552893</v>
      </c>
    </row>
    <row r="51" spans="1:3">
      <c r="A51" s="13">
        <v>44958</v>
      </c>
      <c r="B51">
        <v>146.590622</v>
      </c>
      <c r="C51">
        <f t="shared" si="0"/>
        <v>2.1392681210156108E-2</v>
      </c>
    </row>
    <row r="52" spans="1:3">
      <c r="A52" s="13">
        <v>44986</v>
      </c>
      <c r="B52">
        <v>164.23378</v>
      </c>
      <c r="C52">
        <f t="shared" si="0"/>
        <v>0.11364708316581537</v>
      </c>
    </row>
    <row r="53" spans="1:3">
      <c r="A53" s="13">
        <v>45017</v>
      </c>
      <c r="B53">
        <v>168.99447599999999</v>
      </c>
      <c r="C53">
        <f t="shared" si="0"/>
        <v>2.8575127412486894E-2</v>
      </c>
    </row>
    <row r="54" spans="1:3">
      <c r="A54" s="13">
        <v>45047</v>
      </c>
      <c r="B54">
        <v>176.53389000000001</v>
      </c>
      <c r="C54">
        <f t="shared" si="0"/>
        <v>4.3646841274650842E-2</v>
      </c>
    </row>
    <row r="55" spans="1:3">
      <c r="A55" s="13">
        <v>45078</v>
      </c>
      <c r="B55">
        <v>193.453552</v>
      </c>
      <c r="C55">
        <f t="shared" si="0"/>
        <v>9.1524573038652746E-2</v>
      </c>
    </row>
    <row r="56" spans="1:3">
      <c r="A56" s="13">
        <v>45108</v>
      </c>
      <c r="B56">
        <v>195.92695599999999</v>
      </c>
      <c r="C56">
        <f t="shared" si="0"/>
        <v>1.2704473989481558E-2</v>
      </c>
    </row>
    <row r="57" spans="1:3">
      <c r="A57" s="13">
        <v>45139</v>
      </c>
      <c r="B57">
        <v>187.36978099999999</v>
      </c>
      <c r="C57">
        <f t="shared" si="0"/>
        <v>-4.4657813501751374E-2</v>
      </c>
    </row>
    <row r="58" spans="1:3">
      <c r="A58" s="13">
        <v>45170</v>
      </c>
      <c r="B58">
        <v>170.98474100000001</v>
      </c>
      <c r="C58">
        <f t="shared" si="0"/>
        <v>-9.1509784196414479E-2</v>
      </c>
    </row>
    <row r="59" spans="1:3">
      <c r="A59" s="13">
        <v>45200</v>
      </c>
      <c r="B59">
        <v>170.54531900000001</v>
      </c>
      <c r="C59">
        <f t="shared" si="0"/>
        <v>-2.5732566115840958E-3</v>
      </c>
    </row>
    <row r="60" spans="1:3">
      <c r="A60" s="13">
        <v>45231</v>
      </c>
      <c r="B60">
        <v>189.700073</v>
      </c>
      <c r="C60">
        <f t="shared" si="0"/>
        <v>0.10644319976766417</v>
      </c>
    </row>
    <row r="61" spans="1:3">
      <c r="A61" s="13">
        <v>45261</v>
      </c>
      <c r="B61">
        <v>192.320007</v>
      </c>
      <c r="C61">
        <f t="shared" si="0"/>
        <v>1.3716425985484308E-2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31E5E-C39A-447D-927D-947BB0384273}">
  <dimension ref="A1:F61"/>
  <sheetViews>
    <sheetView workbookViewId="0">
      <selection sqref="A1:C1048576"/>
    </sheetView>
  </sheetViews>
  <sheetFormatPr defaultColWidth="12.44140625" defaultRowHeight="13.2"/>
  <cols>
    <col min="5" max="5" width="21.109375" customWidth="1"/>
  </cols>
  <sheetData>
    <row r="1" spans="1:6" ht="15.6">
      <c r="A1" t="s">
        <v>64</v>
      </c>
      <c r="B1" t="s">
        <v>65</v>
      </c>
      <c r="C1" s="12" t="s">
        <v>66</v>
      </c>
    </row>
    <row r="2" spans="1:6" ht="15.6">
      <c r="A2" s="13">
        <v>43466</v>
      </c>
      <c r="B2">
        <v>99.166435000000007</v>
      </c>
      <c r="C2" s="14"/>
      <c r="E2" s="15" t="s">
        <v>67</v>
      </c>
      <c r="F2">
        <f>AVERAGE(C3:C61)</f>
        <v>2.2261946762103132E-2</v>
      </c>
    </row>
    <row r="3" spans="1:6" ht="15.6">
      <c r="A3" s="13">
        <v>43497</v>
      </c>
      <c r="B3">
        <v>106.383377</v>
      </c>
      <c r="C3">
        <f>LN(B3/B2)</f>
        <v>7.0249733318778471E-2</v>
      </c>
      <c r="E3" s="15" t="s">
        <v>68</v>
      </c>
      <c r="F3">
        <f>_xlfn.VAR.S(C3:C61)</f>
        <v>3.9360481741346634E-3</v>
      </c>
    </row>
    <row r="4" spans="1:6" ht="15.6">
      <c r="A4" s="13">
        <v>43525</v>
      </c>
      <c r="B4">
        <v>112.47380099999999</v>
      </c>
      <c r="C4">
        <f>LN(B4/B3)</f>
        <v>5.5670981024546012E-2</v>
      </c>
      <c r="E4" s="15" t="s">
        <v>69</v>
      </c>
      <c r="F4">
        <f>_xlfn.STDEV.S(C3:C61)</f>
        <v>6.2737932498088136E-2</v>
      </c>
    </row>
    <row r="5" spans="1:6" ht="15.6">
      <c r="A5" s="13">
        <v>43556</v>
      </c>
      <c r="B5">
        <v>124.54703499999999</v>
      </c>
      <c r="C5">
        <f t="shared" ref="C5:C61" si="0">LN(B5/B4)</f>
        <v>0.10196312120059045</v>
      </c>
      <c r="E5" s="15"/>
    </row>
    <row r="6" spans="1:6" ht="15.6">
      <c r="A6" s="13">
        <v>43586</v>
      </c>
      <c r="B6">
        <v>117.947754</v>
      </c>
      <c r="C6">
        <f t="shared" si="0"/>
        <v>-5.444167201885898E-2</v>
      </c>
      <c r="E6" s="15" t="s">
        <v>70</v>
      </c>
      <c r="F6">
        <f>12*F2</f>
        <v>0.26714336114523757</v>
      </c>
    </row>
    <row r="7" spans="1:6" ht="15.6">
      <c r="A7" s="13">
        <v>43617</v>
      </c>
      <c r="B7">
        <v>128.224197</v>
      </c>
      <c r="C7">
        <f t="shared" si="0"/>
        <v>8.3538507120951344E-2</v>
      </c>
      <c r="E7" s="15" t="s">
        <v>71</v>
      </c>
      <c r="F7">
        <f>12*F3</f>
        <v>4.7232578089615965E-2</v>
      </c>
    </row>
    <row r="8" spans="1:6" ht="15.6">
      <c r="A8" s="13">
        <v>43647</v>
      </c>
      <c r="B8">
        <v>130.435303</v>
      </c>
      <c r="C8">
        <f t="shared" si="0"/>
        <v>1.7097070553405511E-2</v>
      </c>
      <c r="E8" s="15" t="s">
        <v>72</v>
      </c>
      <c r="F8">
        <f>SQRT(12)*F4</f>
        <v>0.21733057329703051</v>
      </c>
    </row>
    <row r="9" spans="1:6">
      <c r="A9" s="13">
        <v>43678</v>
      </c>
      <c r="B9">
        <v>131.957199</v>
      </c>
      <c r="C9">
        <f t="shared" si="0"/>
        <v>1.1600278626168137E-2</v>
      </c>
    </row>
    <row r="10" spans="1:6">
      <c r="A10" s="13">
        <v>43709</v>
      </c>
      <c r="B10">
        <v>133.52024800000001</v>
      </c>
      <c r="C10">
        <f t="shared" si="0"/>
        <v>1.1775516745522107E-2</v>
      </c>
    </row>
    <row r="11" spans="1:6">
      <c r="A11" s="13">
        <v>43739</v>
      </c>
      <c r="B11">
        <v>137.68826300000001</v>
      </c>
      <c r="C11">
        <f t="shared" si="0"/>
        <v>3.0739029329983843E-2</v>
      </c>
    </row>
    <row r="12" spans="1:6">
      <c r="A12" s="13">
        <v>43770</v>
      </c>
      <c r="B12">
        <v>145.38082900000001</v>
      </c>
      <c r="C12">
        <f t="shared" si="0"/>
        <v>5.4364540256179622E-2</v>
      </c>
    </row>
    <row r="13" spans="1:6">
      <c r="A13" s="13">
        <v>43800</v>
      </c>
      <c r="B13">
        <v>151.96571399999999</v>
      </c>
      <c r="C13">
        <f t="shared" si="0"/>
        <v>4.429822327535482E-2</v>
      </c>
    </row>
    <row r="14" spans="1:6">
      <c r="A14" s="13">
        <v>43831</v>
      </c>
      <c r="B14">
        <v>164.04006999999999</v>
      </c>
      <c r="C14">
        <f t="shared" si="0"/>
        <v>7.6455797635942568E-2</v>
      </c>
    </row>
    <row r="15" spans="1:6">
      <c r="A15" s="13">
        <v>43862</v>
      </c>
      <c r="B15">
        <v>156.11901900000001</v>
      </c>
      <c r="C15">
        <f t="shared" si="0"/>
        <v>-4.9492068584262687E-2</v>
      </c>
    </row>
    <row r="16" spans="1:6">
      <c r="A16" s="13">
        <v>43891</v>
      </c>
      <c r="B16">
        <v>152.39044200000001</v>
      </c>
      <c r="C16">
        <f t="shared" si="0"/>
        <v>-2.4172733914345011E-2</v>
      </c>
    </row>
    <row r="17" spans="1:3">
      <c r="A17" s="13">
        <v>43922</v>
      </c>
      <c r="B17">
        <v>173.165268</v>
      </c>
      <c r="C17">
        <f t="shared" si="0"/>
        <v>0.12780052009109191</v>
      </c>
    </row>
    <row r="18" spans="1:3">
      <c r="A18" s="13">
        <v>43952</v>
      </c>
      <c r="B18">
        <v>177.06899999999999</v>
      </c>
      <c r="C18">
        <f t="shared" si="0"/>
        <v>2.2293042276691835E-2</v>
      </c>
    </row>
    <row r="19" spans="1:3">
      <c r="A19" s="13">
        <v>43983</v>
      </c>
      <c r="B19">
        <v>197.19326799999999</v>
      </c>
      <c r="C19">
        <f t="shared" si="0"/>
        <v>0.10764481653665572</v>
      </c>
    </row>
    <row r="20" spans="1:3">
      <c r="A20" s="13">
        <v>44013</v>
      </c>
      <c r="B20">
        <v>198.64672899999999</v>
      </c>
      <c r="C20">
        <f t="shared" si="0"/>
        <v>7.3437123237624583E-3</v>
      </c>
    </row>
    <row r="21" spans="1:3">
      <c r="A21" s="13">
        <v>44044</v>
      </c>
      <c r="B21">
        <v>218.52979999999999</v>
      </c>
      <c r="C21">
        <f t="shared" si="0"/>
        <v>9.539437369694137E-2</v>
      </c>
    </row>
    <row r="22" spans="1:3">
      <c r="A22" s="13">
        <v>44075</v>
      </c>
      <c r="B22">
        <v>204.29423499999999</v>
      </c>
      <c r="C22">
        <f t="shared" si="0"/>
        <v>-6.7361106556471734E-2</v>
      </c>
    </row>
    <row r="23" spans="1:3">
      <c r="A23" s="13">
        <v>44105</v>
      </c>
      <c r="B23">
        <v>196.65980500000001</v>
      </c>
      <c r="C23">
        <f t="shared" si="0"/>
        <v>-3.8085925326537602E-2</v>
      </c>
    </row>
    <row r="24" spans="1:3">
      <c r="A24" s="13">
        <v>44136</v>
      </c>
      <c r="B24">
        <v>207.92692600000001</v>
      </c>
      <c r="C24">
        <f t="shared" si="0"/>
        <v>5.5711342874760296E-2</v>
      </c>
    </row>
    <row r="25" spans="1:3">
      <c r="A25" s="13">
        <v>44166</v>
      </c>
      <c r="B25">
        <v>216.60289</v>
      </c>
      <c r="C25">
        <f t="shared" si="0"/>
        <v>4.087897637757975E-2</v>
      </c>
    </row>
    <row r="26" spans="1:3">
      <c r="A26" s="13">
        <v>44197</v>
      </c>
      <c r="B26">
        <v>225.89340200000001</v>
      </c>
      <c r="C26">
        <f t="shared" si="0"/>
        <v>4.1997538388595775E-2</v>
      </c>
    </row>
    <row r="27" spans="1:3">
      <c r="A27" s="13">
        <v>44228</v>
      </c>
      <c r="B27">
        <v>226.302414</v>
      </c>
      <c r="C27">
        <f t="shared" si="0"/>
        <v>1.8090044050334104E-3</v>
      </c>
    </row>
    <row r="28" spans="1:3">
      <c r="A28" s="13">
        <v>44256</v>
      </c>
      <c r="B28">
        <v>230.13256799999999</v>
      </c>
      <c r="C28">
        <f t="shared" si="0"/>
        <v>1.6783305648783595E-2</v>
      </c>
    </row>
    <row r="29" spans="1:3">
      <c r="A29" s="13">
        <v>44287</v>
      </c>
      <c r="B29">
        <v>246.150192</v>
      </c>
      <c r="C29">
        <f t="shared" si="0"/>
        <v>6.7286360728857561E-2</v>
      </c>
    </row>
    <row r="30" spans="1:3">
      <c r="A30" s="13">
        <v>44317</v>
      </c>
      <c r="B30">
        <v>243.709991</v>
      </c>
      <c r="C30">
        <f t="shared" si="0"/>
        <v>-9.9629292976758967E-3</v>
      </c>
    </row>
    <row r="31" spans="1:3">
      <c r="A31" s="13">
        <v>44348</v>
      </c>
      <c r="B31">
        <v>265.03317299999998</v>
      </c>
      <c r="C31">
        <f t="shared" si="0"/>
        <v>8.3876042365376186E-2</v>
      </c>
    </row>
    <row r="32" spans="1:3">
      <c r="A32" s="13">
        <v>44378</v>
      </c>
      <c r="B32">
        <v>278.739777</v>
      </c>
      <c r="C32">
        <f t="shared" si="0"/>
        <v>5.0423648378549485E-2</v>
      </c>
    </row>
    <row r="33" spans="1:3">
      <c r="A33" s="13">
        <v>44409</v>
      </c>
      <c r="B33">
        <v>295.34225500000002</v>
      </c>
      <c r="C33">
        <f t="shared" si="0"/>
        <v>5.7856222621963403E-2</v>
      </c>
    </row>
    <row r="34" spans="1:3">
      <c r="A34" s="13">
        <v>44440</v>
      </c>
      <c r="B34">
        <v>276.34252900000001</v>
      </c>
      <c r="C34">
        <f t="shared" si="0"/>
        <v>-6.649372692810078E-2</v>
      </c>
    </row>
    <row r="35" spans="1:3">
      <c r="A35" s="13">
        <v>44470</v>
      </c>
      <c r="B35">
        <v>325.05926499999998</v>
      </c>
      <c r="C35">
        <f t="shared" si="0"/>
        <v>0.16236637619524408</v>
      </c>
    </row>
    <row r="36" spans="1:3">
      <c r="A36" s="13">
        <v>44501</v>
      </c>
      <c r="B36">
        <v>324.049622</v>
      </c>
      <c r="C36">
        <f t="shared" si="0"/>
        <v>-3.1108611650583215E-3</v>
      </c>
    </row>
    <row r="37" spans="1:3">
      <c r="A37" s="13">
        <v>44531</v>
      </c>
      <c r="B37">
        <v>330.26943999999997</v>
      </c>
      <c r="C37">
        <f t="shared" si="0"/>
        <v>1.9012147780190249E-2</v>
      </c>
    </row>
    <row r="38" spans="1:3">
      <c r="A38" s="13">
        <v>44562</v>
      </c>
      <c r="B38">
        <v>305.38531499999999</v>
      </c>
      <c r="C38">
        <f t="shared" si="0"/>
        <v>-7.8334499017516518E-2</v>
      </c>
    </row>
    <row r="39" spans="1:3">
      <c r="A39" s="13">
        <v>44593</v>
      </c>
      <c r="B39">
        <v>293.41461199999998</v>
      </c>
      <c r="C39">
        <f t="shared" si="0"/>
        <v>-3.9987640362622937E-2</v>
      </c>
    </row>
    <row r="40" spans="1:3">
      <c r="A40" s="13">
        <v>44621</v>
      </c>
      <c r="B40">
        <v>303.389343</v>
      </c>
      <c r="C40">
        <f t="shared" si="0"/>
        <v>3.34302742638855E-2</v>
      </c>
    </row>
    <row r="41" spans="1:3">
      <c r="A41" s="13">
        <v>44652</v>
      </c>
      <c r="B41">
        <v>273.09075899999999</v>
      </c>
      <c r="C41">
        <f t="shared" si="0"/>
        <v>-0.10521275056535632</v>
      </c>
    </row>
    <row r="42" spans="1:3">
      <c r="A42" s="13">
        <v>44682</v>
      </c>
      <c r="B42">
        <v>267.53094499999997</v>
      </c>
      <c r="C42">
        <f t="shared" si="0"/>
        <v>-2.0568948596594003E-2</v>
      </c>
    </row>
    <row r="43" spans="1:3">
      <c r="A43" s="13">
        <v>44713</v>
      </c>
      <c r="B43">
        <v>253.319626</v>
      </c>
      <c r="C43">
        <f t="shared" si="0"/>
        <v>-5.4583206634731783E-2</v>
      </c>
    </row>
    <row r="44" spans="1:3">
      <c r="A44" s="13">
        <v>44743</v>
      </c>
      <c r="B44">
        <v>276.90280200000001</v>
      </c>
      <c r="C44">
        <f t="shared" si="0"/>
        <v>8.9014514048670459E-2</v>
      </c>
    </row>
    <row r="45" spans="1:3">
      <c r="A45" s="13">
        <v>44774</v>
      </c>
      <c r="B45">
        <v>257.89617900000002</v>
      </c>
      <c r="C45">
        <f t="shared" si="0"/>
        <v>-7.110945234485723E-2</v>
      </c>
    </row>
    <row r="46" spans="1:3">
      <c r="A46" s="13">
        <v>44805</v>
      </c>
      <c r="B46">
        <v>230.204285</v>
      </c>
      <c r="C46">
        <f t="shared" si="0"/>
        <v>-0.11358998659443961</v>
      </c>
    </row>
    <row r="47" spans="1:3">
      <c r="A47" s="13">
        <v>44835</v>
      </c>
      <c r="B47">
        <v>229.443207</v>
      </c>
      <c r="C47">
        <f t="shared" si="0"/>
        <v>-3.31157553898758E-3</v>
      </c>
    </row>
    <row r="48" spans="1:3">
      <c r="A48" s="13">
        <v>44866</v>
      </c>
      <c r="B48">
        <v>252.186859</v>
      </c>
      <c r="C48">
        <f t="shared" si="0"/>
        <v>9.4514781877402906E-2</v>
      </c>
    </row>
    <row r="49" spans="1:3">
      <c r="A49" s="13">
        <v>44896</v>
      </c>
      <c r="B49">
        <v>237.71225000000001</v>
      </c>
      <c r="C49">
        <f t="shared" si="0"/>
        <v>-5.910940811418533E-2</v>
      </c>
    </row>
    <row r="50" spans="1:3">
      <c r="A50" s="13">
        <v>44927</v>
      </c>
      <c r="B50">
        <v>245.631989</v>
      </c>
      <c r="C50">
        <f t="shared" si="0"/>
        <v>3.2773527575491325E-2</v>
      </c>
    </row>
    <row r="51" spans="1:3">
      <c r="A51" s="13">
        <v>44958</v>
      </c>
      <c r="B51">
        <v>247.227844</v>
      </c>
      <c r="C51">
        <f t="shared" si="0"/>
        <v>6.4759206181169747E-3</v>
      </c>
    </row>
    <row r="52" spans="1:3">
      <c r="A52" s="13">
        <v>44986</v>
      </c>
      <c r="B52">
        <v>286.48187300000001</v>
      </c>
      <c r="C52">
        <f t="shared" si="0"/>
        <v>0.14736490686616585</v>
      </c>
    </row>
    <row r="53" spans="1:3">
      <c r="A53" s="13">
        <v>45017</v>
      </c>
      <c r="B53">
        <v>305.32232699999997</v>
      </c>
      <c r="C53">
        <f t="shared" si="0"/>
        <v>6.3692764766059173E-2</v>
      </c>
    </row>
    <row r="54" spans="1:3">
      <c r="A54" s="13">
        <v>45047</v>
      </c>
      <c r="B54">
        <v>326.31909200000001</v>
      </c>
      <c r="C54">
        <f t="shared" si="0"/>
        <v>6.6507684047608082E-2</v>
      </c>
    </row>
    <row r="55" spans="1:3">
      <c r="A55" s="13">
        <v>45078</v>
      </c>
      <c r="B55">
        <v>339.13220200000001</v>
      </c>
      <c r="C55">
        <f t="shared" si="0"/>
        <v>3.8514295299906652E-2</v>
      </c>
    </row>
    <row r="56" spans="1:3">
      <c r="A56" s="13">
        <v>45108</v>
      </c>
      <c r="B56">
        <v>334.53131100000002</v>
      </c>
      <c r="C56">
        <f t="shared" si="0"/>
        <v>-1.365952719185828E-2</v>
      </c>
    </row>
    <row r="57" spans="1:3">
      <c r="A57" s="13">
        <v>45139</v>
      </c>
      <c r="B57">
        <v>326.40505999999999</v>
      </c>
      <c r="C57">
        <f t="shared" si="0"/>
        <v>-2.4591355147968279E-2</v>
      </c>
    </row>
    <row r="58" spans="1:3">
      <c r="A58" s="13">
        <v>45170</v>
      </c>
      <c r="B58">
        <v>315.11044299999998</v>
      </c>
      <c r="C58">
        <f t="shared" si="0"/>
        <v>-3.5215935346994E-2</v>
      </c>
    </row>
    <row r="59" spans="1:3">
      <c r="A59" s="13">
        <v>45200</v>
      </c>
      <c r="B59">
        <v>337.42514</v>
      </c>
      <c r="C59">
        <f t="shared" si="0"/>
        <v>6.8420488228499443E-2</v>
      </c>
    </row>
    <row r="60" spans="1:3">
      <c r="A60" s="13">
        <v>45231</v>
      </c>
      <c r="B60">
        <v>378.142517</v>
      </c>
      <c r="C60">
        <f t="shared" si="0"/>
        <v>0.11392747536022954</v>
      </c>
    </row>
    <row r="61" spans="1:3">
      <c r="A61" s="13">
        <v>45261</v>
      </c>
      <c r="B61">
        <v>368.79998799999998</v>
      </c>
      <c r="C61">
        <f t="shared" si="0"/>
        <v>-2.5016694518028192E-2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71DC5-2370-43BF-8309-A0770D3B310D}">
  <dimension ref="A1:F61"/>
  <sheetViews>
    <sheetView workbookViewId="0">
      <selection activeCell="F24" sqref="F24"/>
    </sheetView>
  </sheetViews>
  <sheetFormatPr defaultColWidth="12.44140625" defaultRowHeight="13.2"/>
  <cols>
    <col min="5" max="5" width="22.6640625" customWidth="1"/>
  </cols>
  <sheetData>
    <row r="1" spans="1:6" ht="15.6">
      <c r="A1" t="s">
        <v>64</v>
      </c>
      <c r="B1" t="s">
        <v>65</v>
      </c>
      <c r="C1" s="12" t="s">
        <v>66</v>
      </c>
    </row>
    <row r="2" spans="1:6" ht="15.6">
      <c r="A2" s="13">
        <v>43466</v>
      </c>
      <c r="B2">
        <v>85.936501000000007</v>
      </c>
      <c r="C2" s="14"/>
      <c r="E2" s="15" t="s">
        <v>67</v>
      </c>
      <c r="F2">
        <f>AVERAGE(C3:C61)</f>
        <v>8.8103266252749068E-3</v>
      </c>
    </row>
    <row r="3" spans="1:6" ht="15.6">
      <c r="A3" s="13">
        <v>43497</v>
      </c>
      <c r="B3">
        <v>81.991501</v>
      </c>
      <c r="C3">
        <f>LN(B3/B2)</f>
        <v>-4.6993067514913667E-2</v>
      </c>
      <c r="E3" s="15" t="s">
        <v>68</v>
      </c>
      <c r="F3">
        <f>_xlfn.VAR.S(C3:C61)</f>
        <v>8.6030950997327445E-3</v>
      </c>
    </row>
    <row r="4" spans="1:6" ht="15.6">
      <c r="A4" s="13">
        <v>43525</v>
      </c>
      <c r="B4">
        <v>89.037497999999999</v>
      </c>
      <c r="C4">
        <f t="shared" ref="C4:C61" si="0">LN(B4/B3)</f>
        <v>8.2442011290889891E-2</v>
      </c>
      <c r="E4" s="15" t="s">
        <v>69</v>
      </c>
      <c r="F4">
        <f>_xlfn.STDEV.S(C3:C61)</f>
        <v>9.2752871113150698E-2</v>
      </c>
    </row>
    <row r="5" spans="1:6" ht="15.6">
      <c r="A5" s="13">
        <v>43556</v>
      </c>
      <c r="B5">
        <v>96.325996000000004</v>
      </c>
      <c r="C5">
        <f t="shared" si="0"/>
        <v>7.8680623611546902E-2</v>
      </c>
      <c r="E5" s="15"/>
    </row>
    <row r="6" spans="1:6" ht="15.6">
      <c r="A6" s="13">
        <v>43586</v>
      </c>
      <c r="B6">
        <v>88.753501999999997</v>
      </c>
      <c r="C6">
        <f t="shared" si="0"/>
        <v>-8.1875343721610483E-2</v>
      </c>
      <c r="E6" s="15" t="s">
        <v>70</v>
      </c>
      <c r="F6">
        <f>12*F2</f>
        <v>0.10572391950329887</v>
      </c>
    </row>
    <row r="7" spans="1:6" ht="15.6">
      <c r="A7" s="13">
        <v>43617</v>
      </c>
      <c r="B7">
        <v>94.681503000000006</v>
      </c>
      <c r="C7">
        <f t="shared" si="0"/>
        <v>6.4655772312536386E-2</v>
      </c>
      <c r="E7" s="15" t="s">
        <v>71</v>
      </c>
      <c r="F7">
        <f>12*F3</f>
        <v>0.10323714119679293</v>
      </c>
    </row>
    <row r="8" spans="1:6" ht="15.6">
      <c r="A8" s="13">
        <v>43647</v>
      </c>
      <c r="B8">
        <v>93.338997000000006</v>
      </c>
      <c r="C8">
        <f t="shared" si="0"/>
        <v>-1.4280664241588773E-2</v>
      </c>
      <c r="E8" s="15" t="s">
        <v>72</v>
      </c>
      <c r="F8">
        <f>SQRT(12)*F4</f>
        <v>0.32130537063172931</v>
      </c>
    </row>
    <row r="9" spans="1:6">
      <c r="A9" s="13">
        <v>43678</v>
      </c>
      <c r="B9">
        <v>88.814498999999998</v>
      </c>
      <c r="C9">
        <f t="shared" si="0"/>
        <v>-4.9688081106002029E-2</v>
      </c>
    </row>
    <row r="10" spans="1:6">
      <c r="A10" s="13">
        <v>43709</v>
      </c>
      <c r="B10">
        <v>86.795501999999999</v>
      </c>
      <c r="C10">
        <f t="shared" si="0"/>
        <v>-2.299511364981853E-2</v>
      </c>
    </row>
    <row r="11" spans="1:6">
      <c r="A11" s="13">
        <v>43739</v>
      </c>
      <c r="B11">
        <v>88.832999999999998</v>
      </c>
      <c r="C11">
        <f t="shared" si="0"/>
        <v>2.3203402538443885E-2</v>
      </c>
    </row>
    <row r="12" spans="1:6">
      <c r="A12" s="13">
        <v>43770</v>
      </c>
      <c r="B12">
        <v>90.040001000000004</v>
      </c>
      <c r="C12">
        <f t="shared" si="0"/>
        <v>1.3495824559172798E-2</v>
      </c>
    </row>
    <row r="13" spans="1:6">
      <c r="A13" s="13">
        <v>43800</v>
      </c>
      <c r="B13">
        <v>92.391998000000001</v>
      </c>
      <c r="C13">
        <f t="shared" si="0"/>
        <v>2.5786346021183883E-2</v>
      </c>
    </row>
    <row r="14" spans="1:6">
      <c r="A14" s="13">
        <v>43831</v>
      </c>
      <c r="B14">
        <v>100.435997</v>
      </c>
      <c r="C14">
        <f t="shared" si="0"/>
        <v>8.3480305689690906E-2</v>
      </c>
    </row>
    <row r="15" spans="1:6">
      <c r="A15" s="13">
        <v>43862</v>
      </c>
      <c r="B15">
        <v>94.1875</v>
      </c>
      <c r="C15">
        <f t="shared" si="0"/>
        <v>-6.4233202468866962E-2</v>
      </c>
    </row>
    <row r="16" spans="1:6">
      <c r="A16" s="13">
        <v>43891</v>
      </c>
      <c r="B16">
        <v>97.486000000000004</v>
      </c>
      <c r="C16">
        <f t="shared" si="0"/>
        <v>3.442130156350344E-2</v>
      </c>
    </row>
    <row r="17" spans="1:3">
      <c r="A17" s="13">
        <v>43922</v>
      </c>
      <c r="B17">
        <v>123.699997</v>
      </c>
      <c r="C17">
        <f t="shared" si="0"/>
        <v>0.23815047719600116</v>
      </c>
    </row>
    <row r="18" spans="1:3">
      <c r="A18" s="13">
        <v>43952</v>
      </c>
      <c r="B18">
        <v>122.1185</v>
      </c>
      <c r="C18">
        <f t="shared" si="0"/>
        <v>-1.2867370355305958E-2</v>
      </c>
    </row>
    <row r="19" spans="1:3">
      <c r="A19" s="13">
        <v>43983</v>
      </c>
      <c r="B19">
        <v>137.94099399999999</v>
      </c>
      <c r="C19">
        <f t="shared" si="0"/>
        <v>0.12183412921787694</v>
      </c>
    </row>
    <row r="20" spans="1:3">
      <c r="A20" s="13">
        <v>44013</v>
      </c>
      <c r="B20">
        <v>158.233994</v>
      </c>
      <c r="C20">
        <f t="shared" si="0"/>
        <v>0.13724889814024721</v>
      </c>
    </row>
    <row r="21" spans="1:3">
      <c r="A21" s="13">
        <v>44044</v>
      </c>
      <c r="B21">
        <v>172.54800399999999</v>
      </c>
      <c r="C21">
        <f t="shared" si="0"/>
        <v>8.6600569666522215E-2</v>
      </c>
    </row>
    <row r="22" spans="1:3">
      <c r="A22" s="13">
        <v>44075</v>
      </c>
      <c r="B22">
        <v>157.43649300000001</v>
      </c>
      <c r="C22">
        <f t="shared" si="0"/>
        <v>-9.1653323912149628E-2</v>
      </c>
    </row>
    <row r="23" spans="1:3">
      <c r="A23" s="13">
        <v>44105</v>
      </c>
      <c r="B23">
        <v>151.80749499999999</v>
      </c>
      <c r="C23">
        <f t="shared" si="0"/>
        <v>-3.6408919984196417E-2</v>
      </c>
    </row>
    <row r="24" spans="1:3">
      <c r="A24" s="13">
        <v>44136</v>
      </c>
      <c r="B24">
        <v>158.401993</v>
      </c>
      <c r="C24">
        <f t="shared" si="0"/>
        <v>4.2522823452665913E-2</v>
      </c>
    </row>
    <row r="25" spans="1:3">
      <c r="A25" s="13">
        <v>44166</v>
      </c>
      <c r="B25">
        <v>162.846497</v>
      </c>
      <c r="C25">
        <f t="shared" si="0"/>
        <v>2.7671959526437605E-2</v>
      </c>
    </row>
    <row r="26" spans="1:3">
      <c r="A26" s="13">
        <v>44197</v>
      </c>
      <c r="B26">
        <v>160.30999800000001</v>
      </c>
      <c r="C26">
        <f t="shared" si="0"/>
        <v>-1.5698592672562395E-2</v>
      </c>
    </row>
    <row r="27" spans="1:3">
      <c r="A27" s="13">
        <v>44228</v>
      </c>
      <c r="B27">
        <v>154.6465</v>
      </c>
      <c r="C27">
        <f t="shared" si="0"/>
        <v>-3.5967561099888266E-2</v>
      </c>
    </row>
    <row r="28" spans="1:3">
      <c r="A28" s="13">
        <v>44256</v>
      </c>
      <c r="B28">
        <v>154.70399499999999</v>
      </c>
      <c r="C28">
        <f t="shared" si="0"/>
        <v>3.7171429554038723E-4</v>
      </c>
    </row>
    <row r="29" spans="1:3">
      <c r="A29" s="13">
        <v>44287</v>
      </c>
      <c r="B29">
        <v>173.371002</v>
      </c>
      <c r="C29">
        <f t="shared" si="0"/>
        <v>0.11392023710632282</v>
      </c>
    </row>
    <row r="30" spans="1:3">
      <c r="A30" s="13">
        <v>44317</v>
      </c>
      <c r="B30">
        <v>161.153503</v>
      </c>
      <c r="C30">
        <f t="shared" si="0"/>
        <v>-7.3076472990903529E-2</v>
      </c>
    </row>
    <row r="31" spans="1:3">
      <c r="A31" s="13">
        <v>44348</v>
      </c>
      <c r="B31">
        <v>172.00799599999999</v>
      </c>
      <c r="C31">
        <f t="shared" si="0"/>
        <v>6.518361856816951E-2</v>
      </c>
    </row>
    <row r="32" spans="1:3">
      <c r="A32" s="13">
        <v>44378</v>
      </c>
      <c r="B32">
        <v>166.379501</v>
      </c>
      <c r="C32">
        <f t="shared" si="0"/>
        <v>-3.3269634412303593E-2</v>
      </c>
    </row>
    <row r="33" spans="1:3">
      <c r="A33" s="13">
        <v>44409</v>
      </c>
      <c r="B33">
        <v>173.53950499999999</v>
      </c>
      <c r="C33">
        <f t="shared" si="0"/>
        <v>4.213393830025404E-2</v>
      </c>
    </row>
    <row r="34" spans="1:3">
      <c r="A34" s="13">
        <v>44440</v>
      </c>
      <c r="B34">
        <v>164.25199900000001</v>
      </c>
      <c r="C34">
        <f t="shared" si="0"/>
        <v>-5.5003440230443415E-2</v>
      </c>
    </row>
    <row r="35" spans="1:3">
      <c r="A35" s="13">
        <v>44470</v>
      </c>
      <c r="B35">
        <v>168.62150600000001</v>
      </c>
      <c r="C35">
        <f t="shared" si="0"/>
        <v>2.6254766017016092E-2</v>
      </c>
    </row>
    <row r="36" spans="1:3">
      <c r="A36" s="13">
        <v>44501</v>
      </c>
      <c r="B36">
        <v>175.3535</v>
      </c>
      <c r="C36">
        <f t="shared" si="0"/>
        <v>3.9147342687309496E-2</v>
      </c>
    </row>
    <row r="37" spans="1:3">
      <c r="A37" s="13">
        <v>44531</v>
      </c>
      <c r="B37">
        <v>166.716995</v>
      </c>
      <c r="C37">
        <f t="shared" si="0"/>
        <v>-5.0506202296509706E-2</v>
      </c>
    </row>
    <row r="38" spans="1:3">
      <c r="A38" s="13">
        <v>44562</v>
      </c>
      <c r="B38">
        <v>149.57350199999999</v>
      </c>
      <c r="C38">
        <f t="shared" si="0"/>
        <v>-0.10850980998699417</v>
      </c>
    </row>
    <row r="39" spans="1:3">
      <c r="A39" s="13">
        <v>44593</v>
      </c>
      <c r="B39">
        <v>153.56300400000001</v>
      </c>
      <c r="C39">
        <f t="shared" si="0"/>
        <v>2.632300814397032E-2</v>
      </c>
    </row>
    <row r="40" spans="1:3">
      <c r="A40" s="13">
        <v>44621</v>
      </c>
      <c r="B40">
        <v>162.99749800000001</v>
      </c>
      <c r="C40">
        <f t="shared" si="0"/>
        <v>5.9623918668408965E-2</v>
      </c>
    </row>
    <row r="41" spans="1:3">
      <c r="A41" s="13">
        <v>44652</v>
      </c>
      <c r="B41">
        <v>124.281502</v>
      </c>
      <c r="C41">
        <f t="shared" si="0"/>
        <v>-0.27118568093075529</v>
      </c>
    </row>
    <row r="42" spans="1:3">
      <c r="A42" s="13">
        <v>44682</v>
      </c>
      <c r="B42">
        <v>120.209503</v>
      </c>
      <c r="C42">
        <f t="shared" si="0"/>
        <v>-3.3313091188743461E-2</v>
      </c>
    </row>
    <row r="43" spans="1:3">
      <c r="A43" s="13">
        <v>44713</v>
      </c>
      <c r="B43">
        <v>106.209999</v>
      </c>
      <c r="C43">
        <f t="shared" si="0"/>
        <v>-0.12381782195806545</v>
      </c>
    </row>
    <row r="44" spans="1:3">
      <c r="A44" s="13">
        <v>44743</v>
      </c>
      <c r="B44">
        <v>134.949997</v>
      </c>
      <c r="C44">
        <f t="shared" si="0"/>
        <v>0.23948606031541886</v>
      </c>
    </row>
    <row r="45" spans="1:3">
      <c r="A45" s="13">
        <v>44774</v>
      </c>
      <c r="B45">
        <v>126.769997</v>
      </c>
      <c r="C45">
        <f t="shared" si="0"/>
        <v>-6.2529919947827542E-2</v>
      </c>
    </row>
    <row r="46" spans="1:3">
      <c r="A46" s="13">
        <v>44805</v>
      </c>
      <c r="B46">
        <v>113</v>
      </c>
      <c r="C46">
        <f t="shared" si="0"/>
        <v>-0.11498657857338955</v>
      </c>
    </row>
    <row r="47" spans="1:3">
      <c r="A47" s="13">
        <v>44835</v>
      </c>
      <c r="B47">
        <v>102.44000200000001</v>
      </c>
      <c r="C47">
        <f t="shared" si="0"/>
        <v>-9.8110537857392613E-2</v>
      </c>
    </row>
    <row r="48" spans="1:3">
      <c r="A48" s="13">
        <v>44866</v>
      </c>
      <c r="B48">
        <v>96.540001000000004</v>
      </c>
      <c r="C48">
        <f t="shared" si="0"/>
        <v>-5.9319840264200417E-2</v>
      </c>
    </row>
    <row r="49" spans="1:3">
      <c r="A49" s="13">
        <v>44896</v>
      </c>
      <c r="B49">
        <v>84</v>
      </c>
      <c r="C49">
        <f t="shared" si="0"/>
        <v>-0.13914064174743387</v>
      </c>
    </row>
    <row r="50" spans="1:3">
      <c r="A50" s="13">
        <v>44927</v>
      </c>
      <c r="B50">
        <v>103.129997</v>
      </c>
      <c r="C50">
        <f t="shared" si="0"/>
        <v>0.20517350039516502</v>
      </c>
    </row>
    <row r="51" spans="1:3">
      <c r="A51" s="13">
        <v>44958</v>
      </c>
      <c r="B51">
        <v>94.230002999999996</v>
      </c>
      <c r="C51">
        <f t="shared" si="0"/>
        <v>-9.0251665182819671E-2</v>
      </c>
    </row>
    <row r="52" spans="1:3">
      <c r="A52" s="13">
        <v>44986</v>
      </c>
      <c r="B52">
        <v>103.290001</v>
      </c>
      <c r="C52">
        <f t="shared" si="0"/>
        <v>9.1801941644362395E-2</v>
      </c>
    </row>
    <row r="53" spans="1:3">
      <c r="A53" s="13">
        <v>45017</v>
      </c>
      <c r="B53">
        <v>105.449997</v>
      </c>
      <c r="C53">
        <f t="shared" si="0"/>
        <v>2.0696302775259703E-2</v>
      </c>
    </row>
    <row r="54" spans="1:3">
      <c r="A54" s="13">
        <v>45047</v>
      </c>
      <c r="B54">
        <v>120.58000199999999</v>
      </c>
      <c r="C54">
        <f t="shared" si="0"/>
        <v>0.13407657117247682</v>
      </c>
    </row>
    <row r="55" spans="1:3">
      <c r="A55" s="13">
        <v>45078</v>
      </c>
      <c r="B55">
        <v>130.36000100000001</v>
      </c>
      <c r="C55">
        <f t="shared" si="0"/>
        <v>7.7986411992667704E-2</v>
      </c>
    </row>
    <row r="56" spans="1:3">
      <c r="A56" s="13">
        <v>45108</v>
      </c>
      <c r="B56">
        <v>133.679993</v>
      </c>
      <c r="C56">
        <f t="shared" si="0"/>
        <v>2.5148970282857275E-2</v>
      </c>
    </row>
    <row r="57" spans="1:3">
      <c r="A57" s="13">
        <v>45139</v>
      </c>
      <c r="B57">
        <v>138.009995</v>
      </c>
      <c r="C57">
        <f t="shared" si="0"/>
        <v>3.1877278147406395E-2</v>
      </c>
    </row>
    <row r="58" spans="1:3">
      <c r="A58" s="13">
        <v>45170</v>
      </c>
      <c r="B58">
        <v>127.120003</v>
      </c>
      <c r="C58">
        <f t="shared" si="0"/>
        <v>-8.2194564242480769E-2</v>
      </c>
    </row>
    <row r="59" spans="1:3">
      <c r="A59" s="13">
        <v>45200</v>
      </c>
      <c r="B59">
        <v>133.08999600000001</v>
      </c>
      <c r="C59">
        <f t="shared" si="0"/>
        <v>4.5894015215405808E-2</v>
      </c>
    </row>
    <row r="60" spans="1:3">
      <c r="A60" s="13">
        <v>45231</v>
      </c>
      <c r="B60">
        <v>146.08999600000001</v>
      </c>
      <c r="C60">
        <f t="shared" si="0"/>
        <v>9.3197281720426225E-2</v>
      </c>
    </row>
    <row r="61" spans="1:3">
      <c r="A61" s="13">
        <v>45261</v>
      </c>
      <c r="B61">
        <v>144.520004</v>
      </c>
      <c r="C61">
        <f t="shared" si="0"/>
        <v>-1.0804908806771287E-2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304DB-1E39-4AAA-9A1C-AE2281AF2EE6}">
  <dimension ref="A1:F61"/>
  <sheetViews>
    <sheetView workbookViewId="0">
      <selection activeCell="F7" sqref="F7"/>
    </sheetView>
  </sheetViews>
  <sheetFormatPr defaultColWidth="12.44140625" defaultRowHeight="13.2"/>
  <cols>
    <col min="5" max="5" width="23.33203125" customWidth="1"/>
  </cols>
  <sheetData>
    <row r="1" spans="1:6" ht="15.6">
      <c r="A1" t="s">
        <v>64</v>
      </c>
      <c r="B1" t="s">
        <v>65</v>
      </c>
      <c r="C1" s="15" t="s">
        <v>66</v>
      </c>
    </row>
    <row r="2" spans="1:6" ht="15.6">
      <c r="A2" s="13">
        <v>43466</v>
      </c>
      <c r="B2">
        <v>35.658360000000002</v>
      </c>
      <c r="E2" s="15" t="s">
        <v>67</v>
      </c>
      <c r="F2">
        <f>AVERAGE(C3:C61)</f>
        <v>4.3157488088748752E-2</v>
      </c>
    </row>
    <row r="3" spans="1:6" ht="15.6">
      <c r="A3" s="13">
        <v>43497</v>
      </c>
      <c r="B3">
        <v>38.265445999999997</v>
      </c>
      <c r="C3">
        <f>LN(B3/B2)</f>
        <v>7.0563674281098748E-2</v>
      </c>
      <c r="E3" s="15" t="s">
        <v>68</v>
      </c>
      <c r="F3">
        <f>_xlfn.VAR.S(C3:C61)</f>
        <v>2.0287240937383721E-2</v>
      </c>
    </row>
    <row r="4" spans="1:6" ht="15.6">
      <c r="A4" s="13">
        <v>43525</v>
      </c>
      <c r="B4">
        <v>44.587223000000002</v>
      </c>
      <c r="C4">
        <f t="shared" ref="C4:C61" si="0">LN(B4/B3)</f>
        <v>0.15290004240833791</v>
      </c>
      <c r="E4" s="15" t="s">
        <v>69</v>
      </c>
      <c r="F4">
        <f>_xlfn.STDEV.S(C3:C61)</f>
        <v>0.14243328591794729</v>
      </c>
    </row>
    <row r="5" spans="1:6" ht="15.6">
      <c r="A5" s="13">
        <v>43556</v>
      </c>
      <c r="B5">
        <v>44.944789999999998</v>
      </c>
      <c r="C5">
        <f t="shared" si="0"/>
        <v>7.9875094748890069E-3</v>
      </c>
      <c r="E5" s="15"/>
    </row>
    <row r="6" spans="1:6" ht="15.6">
      <c r="A6" s="13">
        <v>43586</v>
      </c>
      <c r="B6">
        <v>33.636584999999997</v>
      </c>
      <c r="C6">
        <f t="shared" si="0"/>
        <v>-0.28982053373777145</v>
      </c>
      <c r="E6" s="15" t="s">
        <v>70</v>
      </c>
      <c r="F6">
        <f>12*F2</f>
        <v>0.51788985706498503</v>
      </c>
    </row>
    <row r="7" spans="1:6" ht="15.6">
      <c r="A7" s="13">
        <v>43617</v>
      </c>
      <c r="B7">
        <v>40.827114000000002</v>
      </c>
      <c r="C7">
        <f t="shared" si="0"/>
        <v>0.19373210561288795</v>
      </c>
      <c r="E7" s="15" t="s">
        <v>71</v>
      </c>
      <c r="F7">
        <f>12*F3</f>
        <v>0.24344689124860464</v>
      </c>
    </row>
    <row r="8" spans="1:6" ht="15.6">
      <c r="A8" s="13">
        <v>43647</v>
      </c>
      <c r="B8">
        <v>41.943325000000002</v>
      </c>
      <c r="C8">
        <f t="shared" si="0"/>
        <v>2.6972882742774134E-2</v>
      </c>
      <c r="E8" s="15" t="s">
        <v>72</v>
      </c>
      <c r="F8">
        <f>SQRT(12)*F4</f>
        <v>0.4934033757977388</v>
      </c>
    </row>
    <row r="9" spans="1:6">
      <c r="A9" s="13">
        <v>43678</v>
      </c>
      <c r="B9">
        <v>41.642521000000002</v>
      </c>
      <c r="C9">
        <f t="shared" si="0"/>
        <v>-7.1975175934990802E-3</v>
      </c>
    </row>
    <row r="10" spans="1:6">
      <c r="A10" s="13">
        <v>43709</v>
      </c>
      <c r="B10">
        <v>43.316147000000001</v>
      </c>
      <c r="C10">
        <f t="shared" si="0"/>
        <v>3.9403690764044631E-2</v>
      </c>
    </row>
    <row r="11" spans="1:6">
      <c r="A11" s="13">
        <v>43739</v>
      </c>
      <c r="B11">
        <v>50.022475999999997</v>
      </c>
      <c r="C11">
        <f t="shared" si="0"/>
        <v>0.14394694899876559</v>
      </c>
    </row>
    <row r="12" spans="1:6">
      <c r="A12" s="13">
        <v>43770</v>
      </c>
      <c r="B12">
        <v>53.934288000000002</v>
      </c>
      <c r="C12">
        <f t="shared" si="0"/>
        <v>7.5293992240590496E-2</v>
      </c>
    </row>
    <row r="13" spans="1:6">
      <c r="A13" s="13">
        <v>43800</v>
      </c>
      <c r="B13">
        <v>58.596038999999998</v>
      </c>
      <c r="C13">
        <f t="shared" si="0"/>
        <v>8.2900683776854972E-2</v>
      </c>
    </row>
    <row r="14" spans="1:6">
      <c r="A14" s="13">
        <v>43831</v>
      </c>
      <c r="B14">
        <v>58.877434000000001</v>
      </c>
      <c r="C14">
        <f t="shared" si="0"/>
        <v>4.7907928661906057E-3</v>
      </c>
    </row>
    <row r="15" spans="1:6">
      <c r="A15" s="13">
        <v>43862</v>
      </c>
      <c r="B15">
        <v>67.254683999999997</v>
      </c>
      <c r="C15">
        <f t="shared" si="0"/>
        <v>0.13302877330614737</v>
      </c>
    </row>
    <row r="16" spans="1:6">
      <c r="A16" s="13">
        <v>43891</v>
      </c>
      <c r="B16">
        <v>65.682755</v>
      </c>
      <c r="C16">
        <f t="shared" si="0"/>
        <v>-2.3650256551801863E-2</v>
      </c>
    </row>
    <row r="17" spans="1:3">
      <c r="A17" s="13">
        <v>43922</v>
      </c>
      <c r="B17">
        <v>72.829116999999997</v>
      </c>
      <c r="C17">
        <f t="shared" si="0"/>
        <v>0.10327942396937209</v>
      </c>
    </row>
    <row r="18" spans="1:3">
      <c r="A18" s="13">
        <v>43952</v>
      </c>
      <c r="B18">
        <v>88.462410000000006</v>
      </c>
      <c r="C18">
        <f t="shared" si="0"/>
        <v>0.19446188198948774</v>
      </c>
    </row>
    <row r="19" spans="1:3">
      <c r="A19" s="13">
        <v>43983</v>
      </c>
      <c r="B19">
        <v>94.664412999999996</v>
      </c>
      <c r="C19">
        <f t="shared" si="0"/>
        <v>6.7760426850552974E-2</v>
      </c>
    </row>
    <row r="20" spans="1:3">
      <c r="A20" s="13">
        <v>44013</v>
      </c>
      <c r="B20">
        <v>105.845856</v>
      </c>
      <c r="C20">
        <f>LN(B20/B19)</f>
        <v>0.11164570420261184</v>
      </c>
    </row>
    <row r="21" spans="1:3">
      <c r="A21" s="13">
        <v>44044</v>
      </c>
      <c r="B21">
        <v>133.364914</v>
      </c>
      <c r="C21">
        <f t="shared" si="0"/>
        <v>0.23110523831985055</v>
      </c>
    </row>
    <row r="22" spans="1:3">
      <c r="A22" s="13">
        <v>44075</v>
      </c>
      <c r="B22">
        <v>134.920502</v>
      </c>
      <c r="C22">
        <f t="shared" si="0"/>
        <v>1.1596645515764089E-2</v>
      </c>
    </row>
    <row r="23" spans="1:3">
      <c r="A23" s="13">
        <v>44105</v>
      </c>
      <c r="B23">
        <v>125.021202</v>
      </c>
      <c r="C23">
        <f t="shared" si="0"/>
        <v>-7.620239199078542E-2</v>
      </c>
    </row>
    <row r="24" spans="1:3">
      <c r="A24" s="13">
        <v>44136</v>
      </c>
      <c r="B24">
        <v>133.67416399999999</v>
      </c>
      <c r="C24">
        <f t="shared" si="0"/>
        <v>6.69218879219141E-2</v>
      </c>
    </row>
    <row r="25" spans="1:3">
      <c r="A25" s="13">
        <v>44166</v>
      </c>
      <c r="B25">
        <v>130.21798699999999</v>
      </c>
      <c r="C25">
        <f t="shared" si="0"/>
        <v>-2.6195357606737489E-2</v>
      </c>
    </row>
    <row r="26" spans="1:3">
      <c r="A26" s="13">
        <v>44197</v>
      </c>
      <c r="B26">
        <v>129.60540800000001</v>
      </c>
      <c r="C26">
        <f t="shared" si="0"/>
        <v>-4.7153577916794641E-3</v>
      </c>
    </row>
    <row r="27" spans="1:3">
      <c r="A27" s="13">
        <v>44228</v>
      </c>
      <c r="B27">
        <v>136.836624</v>
      </c>
      <c r="C27">
        <f t="shared" si="0"/>
        <v>5.4293177213648319E-2</v>
      </c>
    </row>
    <row r="28" spans="1:3">
      <c r="A28" s="13">
        <v>44256</v>
      </c>
      <c r="B28">
        <v>133.18232699999999</v>
      </c>
      <c r="C28">
        <f t="shared" si="0"/>
        <v>-2.7068619532964504E-2</v>
      </c>
    </row>
    <row r="29" spans="1:3">
      <c r="A29" s="13">
        <v>44287</v>
      </c>
      <c r="B29">
        <v>149.80917400000001</v>
      </c>
      <c r="C29">
        <f t="shared" si="0"/>
        <v>0.11764324174015156</v>
      </c>
    </row>
    <row r="30" spans="1:3">
      <c r="A30" s="13">
        <v>44317</v>
      </c>
      <c r="B30">
        <v>162.135696</v>
      </c>
      <c r="C30">
        <f t="shared" si="0"/>
        <v>7.9071303382626371E-2</v>
      </c>
    </row>
    <row r="31" spans="1:3">
      <c r="A31" s="13">
        <v>44348</v>
      </c>
      <c r="B31">
        <v>199.64407299999999</v>
      </c>
      <c r="C31">
        <f t="shared" si="0"/>
        <v>0.20810253187030497</v>
      </c>
    </row>
    <row r="32" spans="1:3">
      <c r="A32" s="13">
        <v>44378</v>
      </c>
      <c r="B32">
        <v>194.66326900000001</v>
      </c>
      <c r="C32">
        <f t="shared" si="0"/>
        <v>-2.5264905875722329E-2</v>
      </c>
    </row>
    <row r="33" spans="1:3">
      <c r="A33" s="13">
        <v>44409</v>
      </c>
      <c r="B33">
        <v>223.47493</v>
      </c>
      <c r="C33">
        <f t="shared" si="0"/>
        <v>0.1380279974990494</v>
      </c>
    </row>
    <row r="34" spans="1:3">
      <c r="A34" s="13">
        <v>44440</v>
      </c>
      <c r="B34">
        <v>206.84936500000001</v>
      </c>
      <c r="C34">
        <f t="shared" si="0"/>
        <v>-7.730841469440082E-2</v>
      </c>
    </row>
    <row r="35" spans="1:3">
      <c r="A35" s="13">
        <v>44470</v>
      </c>
      <c r="B35">
        <v>255.28660600000001</v>
      </c>
      <c r="C35">
        <f t="shared" si="0"/>
        <v>0.21039603605772669</v>
      </c>
    </row>
    <row r="36" spans="1:3">
      <c r="A36" s="13">
        <v>44501</v>
      </c>
      <c r="B36">
        <v>326.27001999999999</v>
      </c>
      <c r="C36">
        <f t="shared" si="0"/>
        <v>0.24533846163583461</v>
      </c>
    </row>
    <row r="37" spans="1:3">
      <c r="A37" s="13">
        <v>44531</v>
      </c>
      <c r="B37">
        <v>293.66897599999999</v>
      </c>
      <c r="C37">
        <f t="shared" si="0"/>
        <v>-0.10527211971058845</v>
      </c>
    </row>
    <row r="38" spans="1:3">
      <c r="A38" s="13">
        <v>44562</v>
      </c>
      <c r="B38">
        <v>244.52276599999999</v>
      </c>
      <c r="C38">
        <f t="shared" si="0"/>
        <v>-0.18314478397362985</v>
      </c>
    </row>
    <row r="39" spans="1:3">
      <c r="A39" s="13">
        <v>44593</v>
      </c>
      <c r="B39">
        <v>243.51416</v>
      </c>
      <c r="C39">
        <f t="shared" si="0"/>
        <v>-4.1333242720628443E-3</v>
      </c>
    </row>
    <row r="40" spans="1:3">
      <c r="A40" s="13">
        <v>44621</v>
      </c>
      <c r="B40">
        <v>272.48413099999999</v>
      </c>
      <c r="C40">
        <f t="shared" si="0"/>
        <v>0.11240528476259391</v>
      </c>
    </row>
    <row r="41" spans="1:3">
      <c r="A41" s="13">
        <v>44652</v>
      </c>
      <c r="B41">
        <v>185.24612400000001</v>
      </c>
      <c r="C41">
        <f t="shared" si="0"/>
        <v>-0.38589503666481534</v>
      </c>
    </row>
    <row r="42" spans="1:3">
      <c r="A42" s="13">
        <v>44682</v>
      </c>
      <c r="B42">
        <v>186.494598</v>
      </c>
      <c r="C42">
        <f t="shared" si="0"/>
        <v>6.716932636536512E-3</v>
      </c>
    </row>
    <row r="43" spans="1:3">
      <c r="A43" s="13">
        <v>44713</v>
      </c>
      <c r="B43">
        <v>151.40699799999999</v>
      </c>
      <c r="C43">
        <f t="shared" si="0"/>
        <v>-0.20843071165310542</v>
      </c>
    </row>
    <row r="44" spans="1:3">
      <c r="A44" s="13">
        <v>44743</v>
      </c>
      <c r="B44">
        <v>181.44908100000001</v>
      </c>
      <c r="C44">
        <f t="shared" si="0"/>
        <v>0.18100350702630855</v>
      </c>
    </row>
    <row r="45" spans="1:3">
      <c r="A45" s="13">
        <v>44774</v>
      </c>
      <c r="B45">
        <v>150.78967299999999</v>
      </c>
      <c r="C45">
        <f t="shared" si="0"/>
        <v>-0.18508909709358778</v>
      </c>
    </row>
    <row r="46" spans="1:3">
      <c r="A46" s="13">
        <v>44805</v>
      </c>
      <c r="B46">
        <v>121.26908899999999</v>
      </c>
      <c r="C46">
        <f t="shared" si="0"/>
        <v>-0.21787401931899281</v>
      </c>
    </row>
    <row r="47" spans="1:3">
      <c r="A47" s="13">
        <v>44835</v>
      </c>
      <c r="B47">
        <v>134.87562600000001</v>
      </c>
      <c r="C47">
        <f t="shared" si="0"/>
        <v>0.1063411124245552</v>
      </c>
    </row>
    <row r="48" spans="1:3">
      <c r="A48" s="13">
        <v>44866</v>
      </c>
      <c r="B48">
        <v>169.11167900000001</v>
      </c>
      <c r="C48">
        <f t="shared" si="0"/>
        <v>0.22620625425914831</v>
      </c>
    </row>
    <row r="49" spans="1:3">
      <c r="A49" s="13">
        <v>44896</v>
      </c>
      <c r="B49">
        <v>146.07517999999999</v>
      </c>
      <c r="C49">
        <f t="shared" si="0"/>
        <v>-0.1464378984777934</v>
      </c>
    </row>
    <row r="50" spans="1:3">
      <c r="A50" s="13">
        <v>44927</v>
      </c>
      <c r="B50">
        <v>195.28334000000001</v>
      </c>
      <c r="C50">
        <f t="shared" si="0"/>
        <v>0.29033010890103389</v>
      </c>
    </row>
    <row r="51" spans="1:3">
      <c r="A51" s="13">
        <v>44958</v>
      </c>
      <c r="B51">
        <v>232.057053</v>
      </c>
      <c r="C51">
        <f t="shared" si="0"/>
        <v>0.17253172995237212</v>
      </c>
    </row>
    <row r="52" spans="1:3">
      <c r="A52" s="13">
        <v>44986</v>
      </c>
      <c r="B52">
        <v>277.64679000000001</v>
      </c>
      <c r="C52">
        <f t="shared" si="0"/>
        <v>0.1793665067657195</v>
      </c>
    </row>
    <row r="53" spans="1:3">
      <c r="A53" s="13">
        <v>45017</v>
      </c>
      <c r="B53">
        <v>277.41403200000002</v>
      </c>
      <c r="C53">
        <f t="shared" si="0"/>
        <v>-8.3867570694099998E-4</v>
      </c>
    </row>
    <row r="54" spans="1:3">
      <c r="A54" s="13">
        <v>45047</v>
      </c>
      <c r="B54">
        <v>378.23642000000001</v>
      </c>
      <c r="C54">
        <f t="shared" si="0"/>
        <v>0.31000835924723302</v>
      </c>
    </row>
    <row r="55" spans="1:3">
      <c r="A55" s="13">
        <v>45078</v>
      </c>
      <c r="B55">
        <v>422.90420499999999</v>
      </c>
      <c r="C55">
        <f t="shared" si="0"/>
        <v>0.11162623783513462</v>
      </c>
    </row>
    <row r="56" spans="1:3">
      <c r="A56" s="13">
        <v>45108</v>
      </c>
      <c r="B56">
        <v>467.21044899999998</v>
      </c>
      <c r="C56">
        <f t="shared" si="0"/>
        <v>9.9634108740026442E-2</v>
      </c>
    </row>
    <row r="57" spans="1:3">
      <c r="A57" s="13">
        <v>45139</v>
      </c>
      <c r="B57">
        <v>493.46594199999998</v>
      </c>
      <c r="C57">
        <f t="shared" si="0"/>
        <v>5.4674046902761356E-2</v>
      </c>
    </row>
    <row r="58" spans="1:3">
      <c r="A58" s="13">
        <v>45170</v>
      </c>
      <c r="B58">
        <v>434.91592400000002</v>
      </c>
      <c r="C58">
        <f t="shared" si="0"/>
        <v>-0.12630110907365802</v>
      </c>
    </row>
    <row r="59" spans="1:3">
      <c r="A59" s="13">
        <v>45200</v>
      </c>
      <c r="B59">
        <v>407.76413000000002</v>
      </c>
      <c r="C59">
        <f t="shared" si="0"/>
        <v>-6.4463839759675595E-2</v>
      </c>
    </row>
    <row r="60" spans="1:3">
      <c r="A60" s="13">
        <v>45231</v>
      </c>
      <c r="B60">
        <v>467.658905</v>
      </c>
      <c r="C60">
        <f t="shared" si="0"/>
        <v>0.13705030023040846</v>
      </c>
    </row>
    <row r="61" spans="1:3">
      <c r="A61" s="13">
        <v>45261</v>
      </c>
      <c r="B61">
        <v>454.98998999999998</v>
      </c>
      <c r="C61">
        <f t="shared" si="0"/>
        <v>-2.7463776008919936E-2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BDBB5-ADD8-4DB5-8C66-42F887243DDB}">
  <dimension ref="A1:F61"/>
  <sheetViews>
    <sheetView workbookViewId="0">
      <selection activeCell="C2" sqref="C2"/>
    </sheetView>
  </sheetViews>
  <sheetFormatPr defaultColWidth="12.44140625" defaultRowHeight="13.2"/>
  <cols>
    <col min="5" max="5" width="23.44140625" customWidth="1"/>
  </cols>
  <sheetData>
    <row r="1" spans="1:6" ht="15.6">
      <c r="A1" t="s">
        <v>64</v>
      </c>
      <c r="B1" t="s">
        <v>65</v>
      </c>
      <c r="C1" s="15" t="s">
        <v>66</v>
      </c>
    </row>
    <row r="2" spans="1:6" ht="15.6">
      <c r="A2" s="13">
        <v>43466</v>
      </c>
      <c r="B2">
        <v>56.294497999999997</v>
      </c>
      <c r="E2" s="15" t="s">
        <v>67</v>
      </c>
      <c r="F2">
        <f>AVERAGE(C3:C61)</f>
        <v>1.4187991722645456E-2</v>
      </c>
    </row>
    <row r="3" spans="1:6" ht="15.6">
      <c r="A3" s="13">
        <v>43497</v>
      </c>
      <c r="B3">
        <v>56.327499000000003</v>
      </c>
      <c r="C3">
        <f>LN(B3/B2)</f>
        <v>5.8604893934771499E-4</v>
      </c>
      <c r="E3" s="15" t="s">
        <v>68</v>
      </c>
      <c r="F3">
        <f>_xlfn.VAR.S(C3:C61)</f>
        <v>6.0217401722240469E-3</v>
      </c>
    </row>
    <row r="4" spans="1:6" ht="15.6">
      <c r="A4" s="13">
        <v>43525</v>
      </c>
      <c r="B4">
        <v>58.844501000000001</v>
      </c>
      <c r="C4">
        <f t="shared" ref="C4:C61" si="0">LN(B4/B3)</f>
        <v>4.3715535544750182E-2</v>
      </c>
      <c r="E4" s="15" t="s">
        <v>69</v>
      </c>
      <c r="F4">
        <f>_xlfn.STDEV.S(C3:C61)</f>
        <v>7.7599872243606483E-2</v>
      </c>
    </row>
    <row r="5" spans="1:6" ht="15.6">
      <c r="A5" s="13">
        <v>43556</v>
      </c>
      <c r="B5">
        <v>59.948002000000002</v>
      </c>
      <c r="C5">
        <f t="shared" si="0"/>
        <v>1.8579164756160178E-2</v>
      </c>
      <c r="E5" s="15"/>
    </row>
    <row r="6" spans="1:6" ht="15.6">
      <c r="A6" s="13">
        <v>43586</v>
      </c>
      <c r="B6">
        <v>55.325001</v>
      </c>
      <c r="C6">
        <f t="shared" si="0"/>
        <v>-8.0252649132871917E-2</v>
      </c>
      <c r="E6" s="15" t="s">
        <v>70</v>
      </c>
      <c r="F6">
        <f>12*F2</f>
        <v>0.17025590067174548</v>
      </c>
    </row>
    <row r="7" spans="1:6" ht="15.6">
      <c r="A7" s="13">
        <v>43617</v>
      </c>
      <c r="B7">
        <v>54.139999000000003</v>
      </c>
      <c r="C7">
        <f t="shared" si="0"/>
        <v>-2.1651638296601185E-2</v>
      </c>
      <c r="E7" s="15" t="s">
        <v>71</v>
      </c>
      <c r="F7">
        <f>12*F3</f>
        <v>7.226088206668857E-2</v>
      </c>
    </row>
    <row r="8" spans="1:6" ht="15.6">
      <c r="A8" s="13">
        <v>43647</v>
      </c>
      <c r="B8">
        <v>60.91</v>
      </c>
      <c r="C8">
        <f t="shared" si="0"/>
        <v>0.11782409913286995</v>
      </c>
      <c r="E8" s="15" t="s">
        <v>72</v>
      </c>
      <c r="F8">
        <f>SQRT(12)*F4</f>
        <v>0.26881384277356063</v>
      </c>
    </row>
    <row r="9" spans="1:6">
      <c r="A9" s="13">
        <v>43678</v>
      </c>
      <c r="B9">
        <v>59.526501000000003</v>
      </c>
      <c r="C9">
        <f t="shared" si="0"/>
        <v>-2.2975756497718047E-2</v>
      </c>
    </row>
    <row r="10" spans="1:6">
      <c r="A10" s="13">
        <v>43709</v>
      </c>
      <c r="B10">
        <v>61.056998999999998</v>
      </c>
      <c r="C10">
        <f t="shared" si="0"/>
        <v>2.5386229369591472E-2</v>
      </c>
    </row>
    <row r="11" spans="1:6">
      <c r="A11" s="13">
        <v>43739</v>
      </c>
      <c r="B11">
        <v>62.939999</v>
      </c>
      <c r="C11">
        <f t="shared" si="0"/>
        <v>3.0374038027846578E-2</v>
      </c>
    </row>
    <row r="12" spans="1:6">
      <c r="A12" s="13">
        <v>43770</v>
      </c>
      <c r="B12">
        <v>65.204498000000001</v>
      </c>
      <c r="C12">
        <f t="shared" si="0"/>
        <v>3.5346578535011365E-2</v>
      </c>
    </row>
    <row r="13" spans="1:6">
      <c r="A13" s="13">
        <v>43800</v>
      </c>
      <c r="B13">
        <v>66.969498000000002</v>
      </c>
      <c r="C13">
        <f t="shared" si="0"/>
        <v>2.6708807717056186E-2</v>
      </c>
    </row>
    <row r="14" spans="1:6">
      <c r="A14" s="13">
        <v>43831</v>
      </c>
      <c r="B14">
        <v>71.638999999999996</v>
      </c>
      <c r="C14">
        <f t="shared" si="0"/>
        <v>6.7402356412606418E-2</v>
      </c>
    </row>
    <row r="15" spans="1:6">
      <c r="A15" s="13">
        <v>43862</v>
      </c>
      <c r="B15">
        <v>66.962502000000001</v>
      </c>
      <c r="C15">
        <f t="shared" si="0"/>
        <v>-6.7506827338245798E-2</v>
      </c>
    </row>
    <row r="16" spans="1:6">
      <c r="A16" s="13">
        <v>43891</v>
      </c>
      <c r="B16">
        <v>58.097499999999997</v>
      </c>
      <c r="C16">
        <f t="shared" si="0"/>
        <v>-0.14201015740235781</v>
      </c>
    </row>
    <row r="17" spans="1:3">
      <c r="A17" s="13">
        <v>43922</v>
      </c>
      <c r="B17">
        <v>67.334998999999996</v>
      </c>
      <c r="C17">
        <f t="shared" si="0"/>
        <v>0.14755751237870379</v>
      </c>
    </row>
    <row r="18" spans="1:3">
      <c r="A18" s="13">
        <v>43952</v>
      </c>
      <c r="B18">
        <v>71.676002999999994</v>
      </c>
      <c r="C18">
        <f t="shared" si="0"/>
        <v>6.2475859342295145E-2</v>
      </c>
    </row>
    <row r="19" spans="1:3">
      <c r="A19" s="13">
        <v>43983</v>
      </c>
      <c r="B19">
        <v>70.902495999999999</v>
      </c>
      <c r="C19">
        <f t="shared" si="0"/>
        <v>-1.0850367961365846E-2</v>
      </c>
    </row>
    <row r="20" spans="1:3">
      <c r="A20" s="13">
        <v>44013</v>
      </c>
      <c r="B20">
        <v>74.397498999999996</v>
      </c>
      <c r="C20">
        <f t="shared" si="0"/>
        <v>4.8116688250814992E-2</v>
      </c>
    </row>
    <row r="21" spans="1:3">
      <c r="A21" s="13">
        <v>44044</v>
      </c>
      <c r="B21">
        <v>81.476500999999999</v>
      </c>
      <c r="C21">
        <f t="shared" si="0"/>
        <v>9.0892321700384138E-2</v>
      </c>
    </row>
    <row r="22" spans="1:3">
      <c r="A22" s="13">
        <v>44075</v>
      </c>
      <c r="B22">
        <v>73.279999000000004</v>
      </c>
      <c r="C22">
        <f t="shared" si="0"/>
        <v>-0.1060269406634291</v>
      </c>
    </row>
    <row r="23" spans="1:3">
      <c r="A23" s="13">
        <v>44105</v>
      </c>
      <c r="B23">
        <v>80.805496000000005</v>
      </c>
      <c r="C23">
        <f t="shared" si="0"/>
        <v>9.7757276296201567E-2</v>
      </c>
    </row>
    <row r="24" spans="1:3">
      <c r="A24" s="13">
        <v>44136</v>
      </c>
      <c r="B24">
        <v>87.720000999999996</v>
      </c>
      <c r="C24">
        <f t="shared" si="0"/>
        <v>8.210495193380811E-2</v>
      </c>
    </row>
    <row r="25" spans="1:3">
      <c r="A25" s="13">
        <v>44166</v>
      </c>
      <c r="B25">
        <v>87.632003999999995</v>
      </c>
      <c r="C25">
        <f t="shared" si="0"/>
        <v>-1.003661262805445E-3</v>
      </c>
    </row>
    <row r="26" spans="1:3">
      <c r="A26" s="13">
        <v>44197</v>
      </c>
      <c r="B26">
        <v>91.367996000000005</v>
      </c>
      <c r="C26">
        <f t="shared" si="0"/>
        <v>4.1748990282510688E-2</v>
      </c>
    </row>
    <row r="27" spans="1:3">
      <c r="A27" s="13">
        <v>44228</v>
      </c>
      <c r="B27">
        <v>101.09549699999999</v>
      </c>
      <c r="C27">
        <f t="shared" si="0"/>
        <v>0.10117032100583911</v>
      </c>
    </row>
    <row r="28" spans="1:3">
      <c r="A28" s="13">
        <v>44256</v>
      </c>
      <c r="B28">
        <v>103.12599899999999</v>
      </c>
      <c r="C28">
        <f t="shared" si="0"/>
        <v>1.9885946905510338E-2</v>
      </c>
    </row>
    <row r="29" spans="1:3">
      <c r="A29" s="13">
        <v>44287</v>
      </c>
      <c r="B29">
        <v>117.675003</v>
      </c>
      <c r="C29">
        <f t="shared" si="0"/>
        <v>0.1319750809005</v>
      </c>
    </row>
    <row r="30" spans="1:3">
      <c r="A30" s="13">
        <v>44317</v>
      </c>
      <c r="B30">
        <v>117.842499</v>
      </c>
      <c r="C30">
        <f t="shared" si="0"/>
        <v>1.4223658693422246E-3</v>
      </c>
    </row>
    <row r="31" spans="1:3">
      <c r="A31" s="13">
        <v>44348</v>
      </c>
      <c r="B31">
        <v>122.0895</v>
      </c>
      <c r="C31">
        <f t="shared" si="0"/>
        <v>3.5405403682381487E-2</v>
      </c>
    </row>
    <row r="32" spans="1:3">
      <c r="A32" s="13">
        <v>44378</v>
      </c>
      <c r="B32">
        <v>134.72650100000001</v>
      </c>
      <c r="C32">
        <f t="shared" si="0"/>
        <v>9.8492422638206359E-2</v>
      </c>
    </row>
    <row r="33" spans="1:3">
      <c r="A33" s="13">
        <v>44409</v>
      </c>
      <c r="B33">
        <v>144.697495</v>
      </c>
      <c r="C33">
        <f t="shared" si="0"/>
        <v>7.1398516837171841E-2</v>
      </c>
    </row>
    <row r="34" spans="1:3">
      <c r="A34" s="13">
        <v>44440</v>
      </c>
      <c r="B34">
        <v>133.675995</v>
      </c>
      <c r="C34">
        <f t="shared" si="0"/>
        <v>-7.9226397574939364E-2</v>
      </c>
    </row>
    <row r="35" spans="1:3">
      <c r="A35" s="13">
        <v>44470</v>
      </c>
      <c r="B35">
        <v>148.04600500000001</v>
      </c>
      <c r="C35">
        <f t="shared" si="0"/>
        <v>0.10210414582322459</v>
      </c>
    </row>
    <row r="36" spans="1:3">
      <c r="A36" s="13">
        <v>44501</v>
      </c>
      <c r="B36">
        <v>141.89750699999999</v>
      </c>
      <c r="C36">
        <f t="shared" si="0"/>
        <v>-4.2418054755232172E-2</v>
      </c>
    </row>
    <row r="37" spans="1:3">
      <c r="A37" s="13">
        <v>44531</v>
      </c>
      <c r="B37">
        <v>144.85200499999999</v>
      </c>
      <c r="C37">
        <f t="shared" si="0"/>
        <v>2.0607550723674564E-2</v>
      </c>
    </row>
    <row r="38" spans="1:3">
      <c r="A38" s="13">
        <v>44562</v>
      </c>
      <c r="B38">
        <v>135.30349699999999</v>
      </c>
      <c r="C38">
        <f t="shared" si="0"/>
        <v>-6.819218491469356E-2</v>
      </c>
    </row>
    <row r="39" spans="1:3">
      <c r="A39" s="13">
        <v>44593</v>
      </c>
      <c r="B39">
        <v>135.057007</v>
      </c>
      <c r="C39">
        <f t="shared" si="0"/>
        <v>-1.8234177303888531E-3</v>
      </c>
    </row>
    <row r="40" spans="1:3">
      <c r="A40" s="13">
        <v>44621</v>
      </c>
      <c r="B40">
        <v>139.06750500000001</v>
      </c>
      <c r="C40">
        <f t="shared" si="0"/>
        <v>2.926249934423648E-2</v>
      </c>
    </row>
    <row r="41" spans="1:3">
      <c r="A41" s="13">
        <v>44652</v>
      </c>
      <c r="B41">
        <v>114.109497</v>
      </c>
      <c r="C41">
        <f t="shared" si="0"/>
        <v>-0.19780097531460358</v>
      </c>
    </row>
    <row r="42" spans="1:3">
      <c r="A42" s="13">
        <v>44682</v>
      </c>
      <c r="B42">
        <v>113.762001</v>
      </c>
      <c r="C42">
        <f t="shared" si="0"/>
        <v>-3.0499318468492709E-3</v>
      </c>
    </row>
    <row r="43" spans="1:3">
      <c r="A43" s="13">
        <v>44713</v>
      </c>
      <c r="B43">
        <v>108.962997</v>
      </c>
      <c r="C43">
        <f t="shared" si="0"/>
        <v>-4.3100208033141033E-2</v>
      </c>
    </row>
    <row r="44" spans="1:3">
      <c r="A44" s="13">
        <v>44743</v>
      </c>
      <c r="B44">
        <v>116.32</v>
      </c>
      <c r="C44">
        <f t="shared" si="0"/>
        <v>6.5336666255668571E-2</v>
      </c>
    </row>
    <row r="45" spans="1:3">
      <c r="A45" s="13">
        <v>44774</v>
      </c>
      <c r="B45">
        <v>108.220001</v>
      </c>
      <c r="C45">
        <f t="shared" si="0"/>
        <v>-7.2178812330183945E-2</v>
      </c>
    </row>
    <row r="46" spans="1:3">
      <c r="A46" s="13">
        <v>44805</v>
      </c>
      <c r="B46">
        <v>95.650002000000001</v>
      </c>
      <c r="C46">
        <f t="shared" si="0"/>
        <v>-0.12347048465919742</v>
      </c>
    </row>
    <row r="47" spans="1:3">
      <c r="A47" s="13">
        <v>44835</v>
      </c>
      <c r="B47">
        <v>94.510002</v>
      </c>
      <c r="C47">
        <f t="shared" si="0"/>
        <v>-1.1990046627081509E-2</v>
      </c>
    </row>
    <row r="48" spans="1:3">
      <c r="A48" s="13">
        <v>44866</v>
      </c>
      <c r="B48">
        <v>100.989998</v>
      </c>
      <c r="C48">
        <f t="shared" si="0"/>
        <v>6.6315812065778093E-2</v>
      </c>
    </row>
    <row r="49" spans="1:3">
      <c r="A49" s="13">
        <v>44896</v>
      </c>
      <c r="B49">
        <v>88.230002999999996</v>
      </c>
      <c r="C49">
        <f t="shared" si="0"/>
        <v>-0.13507440699847154</v>
      </c>
    </row>
    <row r="50" spans="1:3">
      <c r="A50" s="13">
        <v>44927</v>
      </c>
      <c r="B50">
        <v>98.839995999999999</v>
      </c>
      <c r="C50">
        <f t="shared" si="0"/>
        <v>0.11355526541491012</v>
      </c>
    </row>
    <row r="51" spans="1:3">
      <c r="A51" s="13">
        <v>44958</v>
      </c>
      <c r="B51">
        <v>90.059997999999993</v>
      </c>
      <c r="C51">
        <f t="shared" si="0"/>
        <v>-9.3026247984954999E-2</v>
      </c>
    </row>
    <row r="52" spans="1:3">
      <c r="A52" s="13">
        <v>44986</v>
      </c>
      <c r="B52">
        <v>103.730003</v>
      </c>
      <c r="C52">
        <f t="shared" si="0"/>
        <v>0.14131530569896611</v>
      </c>
    </row>
    <row r="53" spans="1:3">
      <c r="A53" s="13">
        <v>45017</v>
      </c>
      <c r="B53">
        <v>107.339996</v>
      </c>
      <c r="C53">
        <f t="shared" si="0"/>
        <v>3.4209931118941925E-2</v>
      </c>
    </row>
    <row r="54" spans="1:3">
      <c r="A54" s="13">
        <v>45047</v>
      </c>
      <c r="B54">
        <v>122.870003</v>
      </c>
      <c r="C54">
        <f t="shared" si="0"/>
        <v>0.13512558081161311</v>
      </c>
    </row>
    <row r="55" spans="1:3">
      <c r="A55" s="13">
        <v>45078</v>
      </c>
      <c r="B55">
        <v>119.699997</v>
      </c>
      <c r="C55">
        <f t="shared" si="0"/>
        <v>-2.6138322794258623E-2</v>
      </c>
    </row>
    <row r="56" spans="1:3">
      <c r="A56" s="13">
        <v>45108</v>
      </c>
      <c r="B56">
        <v>132.720001</v>
      </c>
      <c r="C56">
        <f t="shared" si="0"/>
        <v>0.10325306591557804</v>
      </c>
    </row>
    <row r="57" spans="1:3">
      <c r="A57" s="13">
        <v>45139</v>
      </c>
      <c r="B57">
        <v>136.16999799999999</v>
      </c>
      <c r="C57">
        <f t="shared" si="0"/>
        <v>2.5662437032112372E-2</v>
      </c>
    </row>
    <row r="58" spans="1:3">
      <c r="A58" s="13">
        <v>45170</v>
      </c>
      <c r="B58">
        <v>130.86000100000001</v>
      </c>
      <c r="C58">
        <f t="shared" si="0"/>
        <v>-3.9776033365613514E-2</v>
      </c>
    </row>
    <row r="59" spans="1:3">
      <c r="A59" s="13">
        <v>45200</v>
      </c>
      <c r="B59">
        <v>124.08000199999999</v>
      </c>
      <c r="C59">
        <f t="shared" si="0"/>
        <v>-5.3201522096430906E-2</v>
      </c>
    </row>
    <row r="60" spans="1:3">
      <c r="A60" s="13">
        <v>45231</v>
      </c>
      <c r="B60">
        <v>132.529999</v>
      </c>
      <c r="C60">
        <f t="shared" si="0"/>
        <v>6.5882492360209655E-2</v>
      </c>
    </row>
    <row r="61" spans="1:3">
      <c r="A61" s="13">
        <v>45261</v>
      </c>
      <c r="B61">
        <v>130.020004</v>
      </c>
      <c r="C61">
        <f t="shared" si="0"/>
        <v>-1.9120711806306024E-2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93B12-41D3-4AB9-A50C-3FF2AD113D44}">
  <dimension ref="A1:Q35"/>
  <sheetViews>
    <sheetView workbookViewId="0">
      <selection activeCell="C24" sqref="C24"/>
    </sheetView>
  </sheetViews>
  <sheetFormatPr defaultRowHeight="13.2"/>
  <cols>
    <col min="1" max="1" width="16.6640625" customWidth="1"/>
    <col min="2" max="2" width="11.5546875" customWidth="1"/>
    <col min="3" max="3" width="1.88671875" customWidth="1"/>
    <col min="6" max="6" width="2.88671875" customWidth="1"/>
    <col min="9" max="9" width="2.88671875" customWidth="1"/>
    <col min="12" max="12" width="2" customWidth="1"/>
    <col min="15" max="15" width="1.6640625" customWidth="1"/>
  </cols>
  <sheetData>
    <row r="1" spans="1:17" ht="18">
      <c r="A1" s="66" t="s">
        <v>73</v>
      </c>
      <c r="B1" s="66"/>
      <c r="C1" s="67" t="s">
        <v>74</v>
      </c>
      <c r="D1" s="67" t="s">
        <v>74</v>
      </c>
      <c r="E1" s="67" t="s">
        <v>74</v>
      </c>
      <c r="F1" s="67" t="s">
        <v>74</v>
      </c>
      <c r="G1" s="67" t="s">
        <v>74</v>
      </c>
      <c r="H1" s="67" t="s">
        <v>74</v>
      </c>
      <c r="I1" s="67" t="s">
        <v>74</v>
      </c>
      <c r="J1" s="67" t="s">
        <v>74</v>
      </c>
      <c r="K1" s="67" t="s">
        <v>74</v>
      </c>
      <c r="L1" s="67" t="s">
        <v>74</v>
      </c>
      <c r="M1" s="67" t="s">
        <v>74</v>
      </c>
      <c r="N1" s="67" t="s">
        <v>74</v>
      </c>
      <c r="O1" s="67" t="s">
        <v>74</v>
      </c>
      <c r="P1" s="67" t="s">
        <v>74</v>
      </c>
      <c r="Q1" s="67" t="s">
        <v>74</v>
      </c>
    </row>
    <row r="2" spans="1:17" ht="14.4">
      <c r="A2" s="68" t="s">
        <v>74</v>
      </c>
      <c r="B2" s="69" t="s">
        <v>74</v>
      </c>
      <c r="C2" s="70" t="s">
        <v>74</v>
      </c>
      <c r="D2" s="68" t="s">
        <v>74</v>
      </c>
      <c r="E2" s="68" t="s">
        <v>74</v>
      </c>
      <c r="F2" s="70" t="s">
        <v>74</v>
      </c>
      <c r="G2" s="68" t="s">
        <v>74</v>
      </c>
      <c r="H2" s="68" t="s">
        <v>74</v>
      </c>
      <c r="I2" s="70" t="s">
        <v>74</v>
      </c>
      <c r="J2" s="68" t="s">
        <v>74</v>
      </c>
      <c r="K2" s="68" t="s">
        <v>74</v>
      </c>
      <c r="L2" s="70" t="s">
        <v>74</v>
      </c>
      <c r="M2" s="68" t="s">
        <v>74</v>
      </c>
      <c r="N2" s="68" t="s">
        <v>74</v>
      </c>
      <c r="O2" s="70" t="s">
        <v>74</v>
      </c>
      <c r="P2" s="68" t="s">
        <v>74</v>
      </c>
      <c r="Q2" s="68" t="s">
        <v>74</v>
      </c>
    </row>
    <row r="3" spans="1:17" ht="12.75" customHeight="1">
      <c r="A3" s="71" t="s">
        <v>75</v>
      </c>
      <c r="B3" s="72" t="s">
        <v>74</v>
      </c>
      <c r="C3" s="73" t="s">
        <v>74</v>
      </c>
      <c r="D3" s="157" t="s">
        <v>76</v>
      </c>
      <c r="E3" s="157"/>
      <c r="F3" s="73" t="s">
        <v>74</v>
      </c>
      <c r="G3" s="158" t="s">
        <v>77</v>
      </c>
      <c r="H3" s="158"/>
      <c r="I3" s="73" t="s">
        <v>74</v>
      </c>
      <c r="J3" s="158" t="s">
        <v>78</v>
      </c>
      <c r="K3" s="158"/>
      <c r="L3" s="73" t="s">
        <v>74</v>
      </c>
      <c r="M3" s="158" t="s">
        <v>79</v>
      </c>
      <c r="N3" s="158"/>
      <c r="O3" s="73" t="s">
        <v>74</v>
      </c>
      <c r="P3" s="153" t="s">
        <v>80</v>
      </c>
      <c r="Q3" s="153"/>
    </row>
    <row r="4" spans="1:17" ht="14.4">
      <c r="A4" s="68" t="s">
        <v>74</v>
      </c>
      <c r="B4" s="69" t="s">
        <v>74</v>
      </c>
      <c r="C4" s="70" t="s">
        <v>74</v>
      </c>
      <c r="D4" s="68" t="s">
        <v>74</v>
      </c>
      <c r="E4" s="68" t="s">
        <v>74</v>
      </c>
      <c r="F4" s="70" t="s">
        <v>74</v>
      </c>
      <c r="G4" s="68" t="s">
        <v>74</v>
      </c>
      <c r="H4" s="68" t="s">
        <v>74</v>
      </c>
      <c r="I4" s="70" t="s">
        <v>74</v>
      </c>
      <c r="J4" s="68" t="s">
        <v>74</v>
      </c>
      <c r="K4" s="68" t="s">
        <v>74</v>
      </c>
      <c r="L4" s="70" t="s">
        <v>74</v>
      </c>
      <c r="M4" s="68" t="s">
        <v>74</v>
      </c>
      <c r="N4" s="68" t="s">
        <v>74</v>
      </c>
      <c r="O4" s="70" t="s">
        <v>74</v>
      </c>
      <c r="P4" s="68" t="s">
        <v>74</v>
      </c>
      <c r="Q4" s="68" t="s">
        <v>74</v>
      </c>
    </row>
    <row r="5" spans="1:17" ht="14.4">
      <c r="A5" s="74" t="s">
        <v>74</v>
      </c>
      <c r="B5" s="102" t="s">
        <v>81</v>
      </c>
      <c r="C5" s="73" t="s">
        <v>74</v>
      </c>
      <c r="D5" s="101" t="s">
        <v>82</v>
      </c>
      <c r="E5" s="101" t="s">
        <v>83</v>
      </c>
      <c r="F5" s="73" t="s">
        <v>74</v>
      </c>
      <c r="G5" s="101" t="s">
        <v>82</v>
      </c>
      <c r="H5" s="101" t="s">
        <v>83</v>
      </c>
      <c r="I5" s="73" t="s">
        <v>74</v>
      </c>
      <c r="J5" s="101" t="s">
        <v>82</v>
      </c>
      <c r="K5" s="101" t="s">
        <v>83</v>
      </c>
      <c r="L5" s="73" t="s">
        <v>74</v>
      </c>
      <c r="M5" s="101" t="s">
        <v>82</v>
      </c>
      <c r="N5" s="101" t="s">
        <v>83</v>
      </c>
      <c r="O5" s="73" t="s">
        <v>74</v>
      </c>
      <c r="P5" s="101" t="s">
        <v>82</v>
      </c>
      <c r="Q5" s="101" t="s">
        <v>83</v>
      </c>
    </row>
    <row r="6" spans="1:17" ht="14.4">
      <c r="A6" s="68" t="s">
        <v>74</v>
      </c>
      <c r="B6" s="69" t="s">
        <v>74</v>
      </c>
      <c r="C6" s="70" t="s">
        <v>74</v>
      </c>
      <c r="D6" s="68" t="s">
        <v>74</v>
      </c>
      <c r="E6" s="68" t="s">
        <v>74</v>
      </c>
      <c r="F6" s="70" t="s">
        <v>74</v>
      </c>
      <c r="G6" s="68" t="s">
        <v>74</v>
      </c>
      <c r="H6" s="68" t="s">
        <v>74</v>
      </c>
      <c r="I6" s="70" t="s">
        <v>74</v>
      </c>
      <c r="J6" s="68" t="s">
        <v>74</v>
      </c>
      <c r="K6" s="68" t="s">
        <v>74</v>
      </c>
      <c r="L6" s="70" t="s">
        <v>74</v>
      </c>
      <c r="M6" s="68" t="s">
        <v>74</v>
      </c>
      <c r="N6" s="68" t="s">
        <v>74</v>
      </c>
      <c r="O6" s="70" t="s">
        <v>74</v>
      </c>
      <c r="P6" s="68" t="s">
        <v>74</v>
      </c>
      <c r="Q6" s="68" t="s">
        <v>74</v>
      </c>
    </row>
    <row r="7" spans="1:17" ht="14.4">
      <c r="A7" s="154" t="s">
        <v>84</v>
      </c>
      <c r="B7" s="103">
        <v>2018</v>
      </c>
      <c r="C7" s="75" t="s">
        <v>74</v>
      </c>
      <c r="D7" s="76">
        <v>68.17</v>
      </c>
      <c r="E7" s="76">
        <v>102.49</v>
      </c>
      <c r="F7" s="75" t="s">
        <v>74</v>
      </c>
      <c r="G7" s="76">
        <v>49.23</v>
      </c>
      <c r="H7" s="76">
        <v>64.239999999999995</v>
      </c>
      <c r="I7" s="75" t="s">
        <v>74</v>
      </c>
      <c r="J7" s="76">
        <v>44.68</v>
      </c>
      <c r="K7" s="76">
        <v>52.97</v>
      </c>
      <c r="L7" s="75" t="s">
        <v>74</v>
      </c>
      <c r="M7" s="76">
        <v>107.57</v>
      </c>
      <c r="N7" s="76">
        <v>169.12</v>
      </c>
      <c r="O7" s="70" t="s">
        <v>74</v>
      </c>
      <c r="P7" s="77">
        <f>AVERAGE(D7,G7,J7,M7)</f>
        <v>67.412499999999994</v>
      </c>
      <c r="Q7" s="77">
        <f>AVERAGE(E7,H7,K7,N7)</f>
        <v>97.204999999999998</v>
      </c>
    </row>
    <row r="8" spans="1:17" ht="14.4">
      <c r="A8" s="155"/>
      <c r="B8" s="104">
        <v>2019</v>
      </c>
      <c r="C8" s="78" t="s">
        <v>74</v>
      </c>
      <c r="D8" s="79">
        <v>94.13</v>
      </c>
      <c r="E8" s="79">
        <v>112.93</v>
      </c>
      <c r="F8" s="78" t="s">
        <v>74</v>
      </c>
      <c r="G8" s="79">
        <v>51.21</v>
      </c>
      <c r="H8" s="79">
        <v>68.12</v>
      </c>
      <c r="I8" s="78" t="s">
        <v>74</v>
      </c>
      <c r="J8" s="79">
        <v>42.69</v>
      </c>
      <c r="K8" s="79">
        <v>55.41</v>
      </c>
      <c r="L8" s="78" t="s">
        <v>74</v>
      </c>
      <c r="M8" s="79">
        <v>117.32</v>
      </c>
      <c r="N8" s="79">
        <v>151.36000000000001</v>
      </c>
      <c r="O8" s="70" t="s">
        <v>74</v>
      </c>
      <c r="P8" s="77">
        <f t="shared" ref="P8:P11" si="0">AVERAGE(D8,G8,J8,M8)</f>
        <v>76.337500000000006</v>
      </c>
      <c r="Q8" s="77">
        <f t="shared" ref="Q8:Q11" si="1">AVERAGE(E8,H8,K8,N8)</f>
        <v>96.955000000000013</v>
      </c>
    </row>
    <row r="9" spans="1:17" ht="14.4">
      <c r="A9" s="155"/>
      <c r="B9" s="104">
        <v>2020</v>
      </c>
      <c r="C9" s="78" t="s">
        <v>74</v>
      </c>
      <c r="D9" s="79">
        <v>132.21</v>
      </c>
      <c r="E9" s="79">
        <v>157.54</v>
      </c>
      <c r="F9" s="78" t="s">
        <v>74</v>
      </c>
      <c r="G9" s="79">
        <v>52.71</v>
      </c>
      <c r="H9" s="79">
        <v>91.25</v>
      </c>
      <c r="I9" s="78" t="s">
        <v>74</v>
      </c>
      <c r="J9" s="79">
        <v>39.799999999999997</v>
      </c>
      <c r="K9" s="79">
        <v>60.15</v>
      </c>
      <c r="L9" s="78" t="s">
        <v>74</v>
      </c>
      <c r="M9" s="79">
        <v>94.77</v>
      </c>
      <c r="N9" s="79">
        <v>156.76</v>
      </c>
      <c r="O9" s="70" t="s">
        <v>74</v>
      </c>
      <c r="P9" s="77">
        <f t="shared" si="0"/>
        <v>79.872500000000002</v>
      </c>
      <c r="Q9" s="77">
        <f t="shared" si="1"/>
        <v>116.425</v>
      </c>
    </row>
    <row r="10" spans="1:17" ht="14.4">
      <c r="A10" s="155"/>
      <c r="B10" s="105">
        <v>2021</v>
      </c>
      <c r="C10" s="70" t="s">
        <v>74</v>
      </c>
      <c r="D10" s="80">
        <v>200.39</v>
      </c>
      <c r="E10" s="80">
        <v>271.39999999999998</v>
      </c>
      <c r="F10" s="70" t="s">
        <v>74</v>
      </c>
      <c r="G10" s="80">
        <v>86.14</v>
      </c>
      <c r="H10" s="80">
        <v>149.84</v>
      </c>
      <c r="I10" s="70" t="s">
        <v>74</v>
      </c>
      <c r="J10" s="80">
        <v>51.31</v>
      </c>
      <c r="K10" s="80">
        <v>80.400000000000006</v>
      </c>
      <c r="L10" s="70" t="s">
        <v>74</v>
      </c>
      <c r="M10" s="80">
        <v>115.81</v>
      </c>
      <c r="N10" s="80">
        <v>151.28</v>
      </c>
      <c r="O10" s="70" t="s">
        <v>74</v>
      </c>
      <c r="P10" s="77">
        <f t="shared" si="0"/>
        <v>113.41249999999999</v>
      </c>
      <c r="Q10" s="77">
        <f t="shared" si="1"/>
        <v>163.22999999999999</v>
      </c>
    </row>
    <row r="11" spans="1:17" ht="14.4">
      <c r="A11" s="156"/>
      <c r="B11" s="106">
        <v>2022</v>
      </c>
      <c r="C11" s="81" t="s">
        <v>74</v>
      </c>
      <c r="D11" s="82">
        <v>242.26</v>
      </c>
      <c r="E11" s="82">
        <v>343.11</v>
      </c>
      <c r="F11" s="81" t="s">
        <v>74</v>
      </c>
      <c r="G11" s="83">
        <v>83.43</v>
      </c>
      <c r="H11" s="83">
        <v>148</v>
      </c>
      <c r="I11" s="81" t="s">
        <v>74</v>
      </c>
      <c r="J11" s="83">
        <v>64.040000000000006</v>
      </c>
      <c r="K11" s="83">
        <v>103.65</v>
      </c>
      <c r="L11" s="81" t="s">
        <v>74</v>
      </c>
      <c r="M11" s="83">
        <v>117.57</v>
      </c>
      <c r="N11" s="83">
        <v>150.57</v>
      </c>
      <c r="O11" s="70" t="s">
        <v>74</v>
      </c>
      <c r="P11" s="77">
        <f t="shared" si="0"/>
        <v>126.825</v>
      </c>
      <c r="Q11" s="77">
        <f t="shared" si="1"/>
        <v>186.33249999999998</v>
      </c>
    </row>
    <row r="12" spans="1:17" ht="14.4">
      <c r="A12" s="68" t="s">
        <v>74</v>
      </c>
      <c r="B12" s="69" t="s">
        <v>74</v>
      </c>
      <c r="C12" s="70" t="s">
        <v>74</v>
      </c>
      <c r="D12" s="68" t="s">
        <v>74</v>
      </c>
      <c r="E12" s="68" t="s">
        <v>74</v>
      </c>
      <c r="F12" s="70" t="s">
        <v>74</v>
      </c>
      <c r="G12" s="68" t="s">
        <v>74</v>
      </c>
      <c r="H12" s="68" t="s">
        <v>74</v>
      </c>
      <c r="I12" s="70" t="s">
        <v>74</v>
      </c>
      <c r="J12" s="68" t="s">
        <v>74</v>
      </c>
      <c r="K12" s="68" t="s">
        <v>74</v>
      </c>
      <c r="L12" s="70" t="s">
        <v>74</v>
      </c>
      <c r="M12" s="68" t="s">
        <v>74</v>
      </c>
      <c r="N12" s="68" t="s">
        <v>74</v>
      </c>
      <c r="O12" s="70" t="s">
        <v>74</v>
      </c>
      <c r="P12" s="84" t="s">
        <v>74</v>
      </c>
      <c r="Q12" s="84" t="s">
        <v>74</v>
      </c>
    </row>
    <row r="13" spans="1:17" ht="12.75" customHeight="1">
      <c r="A13" s="144" t="s">
        <v>85</v>
      </c>
      <c r="B13" s="103">
        <v>2018</v>
      </c>
      <c r="C13" s="75" t="s">
        <v>74</v>
      </c>
      <c r="D13" s="147">
        <v>2.13</v>
      </c>
      <c r="E13" s="148"/>
      <c r="F13" s="75" t="s">
        <v>74</v>
      </c>
      <c r="G13" s="147">
        <v>2.19</v>
      </c>
      <c r="H13" s="148"/>
      <c r="I13" s="75" t="s">
        <v>74</v>
      </c>
      <c r="J13" s="147">
        <v>0.85</v>
      </c>
      <c r="K13" s="148"/>
      <c r="L13" s="75" t="s">
        <v>74</v>
      </c>
      <c r="M13" s="147">
        <v>9.52</v>
      </c>
      <c r="N13" s="148"/>
      <c r="O13" s="70" t="s">
        <v>74</v>
      </c>
      <c r="P13" s="149">
        <f>AVERAGE(D13,G13,J13,M13)</f>
        <v>3.6724999999999999</v>
      </c>
      <c r="Q13" s="150"/>
    </row>
    <row r="14" spans="1:17" ht="12.75" customHeight="1">
      <c r="A14" s="145"/>
      <c r="B14" s="104">
        <v>2019</v>
      </c>
      <c r="C14" s="78" t="s">
        <v>74</v>
      </c>
      <c r="D14" s="142">
        <v>5.0599999999999996</v>
      </c>
      <c r="E14" s="143"/>
      <c r="F14" s="78" t="s">
        <v>74</v>
      </c>
      <c r="G14" s="142">
        <v>2.46</v>
      </c>
      <c r="H14" s="143"/>
      <c r="I14" s="78" t="s">
        <v>74</v>
      </c>
      <c r="J14" s="142">
        <v>2.97</v>
      </c>
      <c r="K14" s="143"/>
      <c r="L14" s="78" t="s">
        <v>74</v>
      </c>
      <c r="M14" s="142">
        <v>10.56</v>
      </c>
      <c r="N14" s="143"/>
      <c r="O14" s="70" t="s">
        <v>74</v>
      </c>
      <c r="P14" s="149">
        <f t="shared" ref="P14:P17" si="2">AVERAGE(D14,G14,J14,M14)</f>
        <v>5.2625000000000002</v>
      </c>
      <c r="Q14" s="150"/>
    </row>
    <row r="15" spans="1:17" ht="12.75" customHeight="1">
      <c r="A15" s="145"/>
      <c r="B15" s="104">
        <v>2020</v>
      </c>
      <c r="C15" s="78" t="s">
        <v>74</v>
      </c>
      <c r="D15" s="142">
        <v>5.76</v>
      </c>
      <c r="E15" s="143"/>
      <c r="F15" s="78" t="s">
        <v>74</v>
      </c>
      <c r="G15" s="142">
        <v>2.93</v>
      </c>
      <c r="H15" s="143"/>
      <c r="I15" s="78" t="s">
        <v>74</v>
      </c>
      <c r="J15" s="142">
        <v>3.08</v>
      </c>
      <c r="K15" s="143"/>
      <c r="L15" s="78" t="s">
        <v>74</v>
      </c>
      <c r="M15" s="142">
        <v>6.23</v>
      </c>
      <c r="N15" s="143"/>
      <c r="O15" s="70" t="s">
        <v>74</v>
      </c>
      <c r="P15" s="149">
        <f t="shared" si="2"/>
        <v>4.5</v>
      </c>
      <c r="Q15" s="150"/>
    </row>
    <row r="16" spans="1:17" ht="12.75" customHeight="1">
      <c r="A16" s="145"/>
      <c r="B16" s="105">
        <v>2021</v>
      </c>
      <c r="C16" s="70" t="s">
        <v>74</v>
      </c>
      <c r="D16" s="142">
        <v>8.0500000000000007</v>
      </c>
      <c r="E16" s="143"/>
      <c r="F16" s="70" t="s">
        <v>74</v>
      </c>
      <c r="G16" s="142">
        <v>5.61</v>
      </c>
      <c r="H16" s="143"/>
      <c r="I16" s="70" t="s">
        <v>74</v>
      </c>
      <c r="J16" s="142">
        <v>4.55</v>
      </c>
      <c r="K16" s="143"/>
      <c r="L16" s="70" t="s">
        <v>74</v>
      </c>
      <c r="M16" s="142">
        <v>6.35</v>
      </c>
      <c r="N16" s="143"/>
      <c r="O16" s="70" t="s">
        <v>74</v>
      </c>
      <c r="P16" s="149">
        <f t="shared" si="2"/>
        <v>6.1400000000000006</v>
      </c>
      <c r="Q16" s="150"/>
    </row>
    <row r="17" spans="1:17" ht="12.75" customHeight="1">
      <c r="A17" s="146"/>
      <c r="B17" s="106">
        <v>2022</v>
      </c>
      <c r="C17" s="81" t="s">
        <v>74</v>
      </c>
      <c r="D17" s="151">
        <v>9.65</v>
      </c>
      <c r="E17" s="152"/>
      <c r="F17" s="81" t="s">
        <v>74</v>
      </c>
      <c r="G17" s="151">
        <v>4.5599999999999996</v>
      </c>
      <c r="H17" s="152"/>
      <c r="I17" s="81" t="s">
        <v>74</v>
      </c>
      <c r="J17" s="151">
        <v>2.41</v>
      </c>
      <c r="K17" s="152"/>
      <c r="L17" s="81" t="s">
        <v>74</v>
      </c>
      <c r="M17" s="151">
        <v>1.79</v>
      </c>
      <c r="N17" s="152"/>
      <c r="O17" s="70" t="s">
        <v>74</v>
      </c>
      <c r="P17" s="149">
        <f t="shared" si="2"/>
        <v>4.6025</v>
      </c>
      <c r="Q17" s="150"/>
    </row>
    <row r="18" spans="1:17" ht="14.4">
      <c r="A18" s="68" t="s">
        <v>74</v>
      </c>
      <c r="B18" s="69" t="s">
        <v>74</v>
      </c>
      <c r="C18" s="70" t="s">
        <v>74</v>
      </c>
      <c r="D18" s="68" t="s">
        <v>74</v>
      </c>
      <c r="E18" s="68" t="s">
        <v>74</v>
      </c>
      <c r="F18" s="70" t="s">
        <v>74</v>
      </c>
      <c r="G18" s="68" t="s">
        <v>74</v>
      </c>
      <c r="H18" s="68" t="s">
        <v>74</v>
      </c>
      <c r="I18" s="70" t="s">
        <v>74</v>
      </c>
      <c r="J18" s="68" t="s">
        <v>74</v>
      </c>
      <c r="K18" s="68" t="s">
        <v>74</v>
      </c>
      <c r="L18" s="70" t="s">
        <v>74</v>
      </c>
      <c r="M18" s="68" t="s">
        <v>74</v>
      </c>
      <c r="N18" s="68" t="s">
        <v>74</v>
      </c>
      <c r="O18" s="70" t="s">
        <v>74</v>
      </c>
      <c r="P18" s="68" t="s">
        <v>74</v>
      </c>
      <c r="Q18" s="68" t="s">
        <v>74</v>
      </c>
    </row>
    <row r="19" spans="1:17" ht="14.4">
      <c r="A19" s="139" t="s">
        <v>86</v>
      </c>
      <c r="B19" s="103">
        <v>2018</v>
      </c>
      <c r="C19" s="75" t="s">
        <v>74</v>
      </c>
      <c r="D19" s="108">
        <f>IFERROR(IF(INDEX(D$7:D$11,MATCH($B19,$B$7:$B$11,0))/INDEX(D$13:D$17,MATCH($B19,$B$13:$B$17,0))&lt;0,"NM",INDEX(D$7:D$11,MATCH($B19,$B$7:$B$11,0))/INDEX(D$13:D$17,MATCH($B19,$B$13:$B$17,0))),"NA")</f>
        <v>32.004694835680752</v>
      </c>
      <c r="E19" s="108">
        <f>IFERROR(IF(INDEX(E$7:E$11,MATCH($B19,$B$7:$B$11,0))/INDEX(D$13:D$17,MATCH($B19,$B$13:$B$17,0))&lt;0,"NM",INDEX(E$7:E$11,MATCH($B19,$B$7:$B$11,0))/INDEX(D$13:D$17,MATCH($B19,$B$13:$B$17,0))),"NA")</f>
        <v>48.117370892018776</v>
      </c>
      <c r="F19" s="109" t="s">
        <v>74</v>
      </c>
      <c r="G19" s="108">
        <f>IFERROR(IF(INDEX(G$7:G$11,MATCH($B19,$B$7:$B$11,0))/INDEX(G$13:G$17,MATCH($B19,$B$13:$B$17,0))&lt;0,"NM",INDEX(G$7:G$11,MATCH($B19,$B$7:$B$11,0))/INDEX(G$13:G$17,MATCH($B19,$B$13:$B$17,0))),"NA")</f>
        <v>22.479452054794521</v>
      </c>
      <c r="H19" s="108">
        <f>IFERROR(IF(INDEX(H$7:H$11,MATCH($B19,$B$7:$B$11,0))/INDEX(G$13:G$17,MATCH($B19,$B$13:$B$17,0))&lt;0,"NM",INDEX(H$7:H$11,MATCH($B19,$B$7:$B$11,0))/INDEX(G$13:G$17,MATCH($B19,$B$13:$B$17,0))),"NA")</f>
        <v>29.333333333333332</v>
      </c>
      <c r="I19" s="109" t="s">
        <v>74</v>
      </c>
      <c r="J19" s="108">
        <f>IFERROR(IF(INDEX(J$7:J$11,MATCH($B19,$B$7:$B$11,0))/INDEX(J$13:J$17,MATCH($B19,$B$13:$B$17,0))&lt;0,"NM",INDEX(J$7:J$11,MATCH($B19,$B$7:$B$11,0))/INDEX(J$13:J$17,MATCH($B19,$B$13:$B$17,0))),"NA")</f>
        <v>52.564705882352939</v>
      </c>
      <c r="K19" s="108">
        <f>IFERROR(IF(INDEX(K$7:K$11,MATCH($B19,$B$7:$B$11,0))/INDEX(J$13:J$17,MATCH($B19,$B$13:$B$17,0))&lt;0,"NM",INDEX(K$7:K$11,MATCH($B19,$B$7:$B$11,0))/INDEX(J$13:J$17,MATCH($B19,$B$13:$B$17,0))),"NA")</f>
        <v>62.317647058823532</v>
      </c>
      <c r="L19" s="109" t="s">
        <v>74</v>
      </c>
      <c r="M19" s="108">
        <f>IFERROR(IF(INDEX(M$7:M$11,MATCH($B19,$B$7:$B$11,0))/INDEX(M$13:M$17,MATCH($B19,$B$13:$B$17,0))&lt;0,"NM",INDEX(M$7:M$11,MATCH($B19,$B$7:$B$11,0))/INDEX(M$13:M$17,MATCH($B19,$B$13:$B$17,0))),"NA")</f>
        <v>11.29936974789916</v>
      </c>
      <c r="N19" s="108">
        <f>IFERROR(IF(INDEX(N$7:N$11,MATCH($B19,$B$7:$B$11,0))/INDEX(M$13:M$17,MATCH($B19,$B$13:$B$17,0))&lt;0,"NM",INDEX(N$7:N$11,MATCH($B19,$B$7:$B$11,0))/INDEX(M$13:M$17,MATCH($B19,$B$13:$B$17,0))),"NA")</f>
        <v>17.764705882352942</v>
      </c>
      <c r="O19" s="110" t="s">
        <v>74</v>
      </c>
      <c r="P19" s="111">
        <f>AVERAGE(D19,G19,J19,M19)</f>
        <v>29.587055630181844</v>
      </c>
      <c r="Q19" s="112">
        <f>AVERAGE(E19,H19,K19,N19)</f>
        <v>39.383264291632145</v>
      </c>
    </row>
    <row r="20" spans="1:17" ht="14.4">
      <c r="A20" s="140"/>
      <c r="B20" s="104">
        <v>2019</v>
      </c>
      <c r="C20" s="78" t="s">
        <v>74</v>
      </c>
      <c r="D20" s="108">
        <f t="shared" ref="D20:D23" si="3">IFERROR(IF(INDEX(D$7:D$11,MATCH($B20,$B$7:$B$11,0))/INDEX(D$13:D$17,MATCH($B20,$B$13:$B$17,0))&lt;0,"NM",INDEX(D$7:D$11,MATCH($B20,$B$7:$B$11,0))/INDEX(D$13:D$17,MATCH($B20,$B$13:$B$17,0))),"NA")</f>
        <v>18.602766798418973</v>
      </c>
      <c r="E20" s="108">
        <f t="shared" ref="E20:E23" si="4">IFERROR(IF(INDEX(E$7:E$11,MATCH($B20,$B$7:$B$11,0))/INDEX(D$13:D$17,MATCH($B20,$B$13:$B$17,0))&lt;0,"NM",INDEX(E$7:E$11,MATCH($B20,$B$7:$B$11,0))/INDEX(D$13:D$17,MATCH($B20,$B$13:$B$17,0))),"NA")</f>
        <v>22.31818181818182</v>
      </c>
      <c r="F20" s="113" t="s">
        <v>74</v>
      </c>
      <c r="G20" s="108">
        <f t="shared" ref="G20:G23" si="5">IFERROR(IF(INDEX(G$7:G$11,MATCH($B20,$B$7:$B$11,0))/INDEX(G$13:G$17,MATCH($B20,$B$13:$B$17,0))&lt;0,"NM",INDEX(G$7:G$11,MATCH($B20,$B$7:$B$11,0))/INDEX(G$13:G$17,MATCH($B20,$B$13:$B$17,0))),"NA")</f>
        <v>20.817073170731707</v>
      </c>
      <c r="H20" s="108">
        <f t="shared" ref="H20:H23" si="6">IFERROR(IF(INDEX(H$7:H$11,MATCH($B20,$B$7:$B$11,0))/INDEX(G$13:G$17,MATCH($B20,$B$13:$B$17,0))&lt;0,"NM",INDEX(H$7:H$11,MATCH($B20,$B$7:$B$11,0))/INDEX(G$13:G$17,MATCH($B20,$B$13:$B$17,0))),"NA")</f>
        <v>27.69105691056911</v>
      </c>
      <c r="I20" s="113" t="s">
        <v>74</v>
      </c>
      <c r="J20" s="108">
        <f t="shared" ref="J20:J23" si="7">IFERROR(IF(INDEX(J$7:J$11,MATCH($B20,$B$7:$B$11,0))/INDEX(J$13:J$17,MATCH($B20,$B$13:$B$17,0))&lt;0,"NM",INDEX(J$7:J$11,MATCH($B20,$B$7:$B$11,0))/INDEX(J$13:J$17,MATCH($B20,$B$13:$B$17,0))),"NA")</f>
        <v>14.373737373737372</v>
      </c>
      <c r="K20" s="108">
        <f t="shared" ref="K20:K23" si="8">IFERROR(IF(INDEX(K$7:K$11,MATCH($B20,$B$7:$B$11,0))/INDEX(J$13:J$17,MATCH($B20,$B$13:$B$17,0))&lt;0,"NM",INDEX(K$7:K$11,MATCH($B20,$B$7:$B$11,0))/INDEX(J$13:J$17,MATCH($B20,$B$13:$B$17,0))),"NA")</f>
        <v>18.656565656565654</v>
      </c>
      <c r="L20" s="113" t="s">
        <v>74</v>
      </c>
      <c r="M20" s="108">
        <f t="shared" ref="M20:M23" si="9">IFERROR(IF(INDEX(M$7:M$11,MATCH($B20,$B$7:$B$11,0))/INDEX(M$13:M$17,MATCH($B20,$B$13:$B$17,0))&lt;0,"NM",INDEX(M$7:M$11,MATCH($B20,$B$7:$B$11,0))/INDEX(M$13:M$17,MATCH($B20,$B$13:$B$17,0))),"NA")</f>
        <v>11.109848484848484</v>
      </c>
      <c r="N20" s="108">
        <f t="shared" ref="N20:N23" si="10">IFERROR(IF(INDEX(N$7:N$11,MATCH($B20,$B$7:$B$11,0))/INDEX(M$13:M$17,MATCH($B20,$B$13:$B$17,0))&lt;0,"NM",INDEX(N$7:N$11,MATCH($B20,$B$7:$B$11,0))/INDEX(M$13:M$17,MATCH($B20,$B$13:$B$17,0))),"NA")</f>
        <v>14.333333333333334</v>
      </c>
      <c r="O20" s="110" t="s">
        <v>74</v>
      </c>
      <c r="P20" s="111">
        <f t="shared" ref="P20:P23" si="11">AVERAGE(D20,G20,J20,M20)</f>
        <v>16.225856456934132</v>
      </c>
      <c r="Q20" s="112">
        <f t="shared" ref="Q20:Q23" si="12">AVERAGE(E20,H20,K20,N20)</f>
        <v>20.74978442966248</v>
      </c>
    </row>
    <row r="21" spans="1:17" ht="14.4">
      <c r="A21" s="140"/>
      <c r="B21" s="104">
        <v>2020</v>
      </c>
      <c r="C21" s="78" t="s">
        <v>74</v>
      </c>
      <c r="D21" s="108">
        <f t="shared" si="3"/>
        <v>22.953125000000004</v>
      </c>
      <c r="E21" s="108">
        <f t="shared" si="4"/>
        <v>27.350694444444443</v>
      </c>
      <c r="F21" s="113" t="s">
        <v>74</v>
      </c>
      <c r="G21" s="108">
        <f t="shared" si="5"/>
        <v>17.989761092150172</v>
      </c>
      <c r="H21" s="108">
        <f t="shared" si="6"/>
        <v>31.143344709897608</v>
      </c>
      <c r="I21" s="113" t="s">
        <v>74</v>
      </c>
      <c r="J21" s="108">
        <f t="shared" si="7"/>
        <v>12.922077922077921</v>
      </c>
      <c r="K21" s="108">
        <f t="shared" si="8"/>
        <v>19.529220779220779</v>
      </c>
      <c r="L21" s="113" t="s">
        <v>74</v>
      </c>
      <c r="M21" s="108">
        <f t="shared" si="9"/>
        <v>15.211878009630817</v>
      </c>
      <c r="N21" s="108">
        <f t="shared" si="10"/>
        <v>25.162118780096304</v>
      </c>
      <c r="O21" s="110" t="s">
        <v>74</v>
      </c>
      <c r="P21" s="111">
        <f t="shared" si="11"/>
        <v>17.269210505964729</v>
      </c>
      <c r="Q21" s="112">
        <f t="shared" si="12"/>
        <v>25.796344678414783</v>
      </c>
    </row>
    <row r="22" spans="1:17" ht="14.4">
      <c r="A22" s="140"/>
      <c r="B22" s="104">
        <v>2021</v>
      </c>
      <c r="C22" s="78" t="s">
        <v>74</v>
      </c>
      <c r="D22" s="108">
        <f t="shared" si="3"/>
        <v>24.893167701863351</v>
      </c>
      <c r="E22" s="108">
        <f t="shared" si="4"/>
        <v>33.714285714285708</v>
      </c>
      <c r="F22" s="113" t="s">
        <v>74</v>
      </c>
      <c r="G22" s="108">
        <f t="shared" si="5"/>
        <v>15.354723707664883</v>
      </c>
      <c r="H22" s="108">
        <f t="shared" si="6"/>
        <v>26.709447415329766</v>
      </c>
      <c r="I22" s="113" t="s">
        <v>74</v>
      </c>
      <c r="J22" s="108">
        <f t="shared" si="7"/>
        <v>11.276923076923078</v>
      </c>
      <c r="K22" s="108">
        <f t="shared" si="8"/>
        <v>17.670329670329672</v>
      </c>
      <c r="L22" s="113" t="s">
        <v>74</v>
      </c>
      <c r="M22" s="108">
        <f t="shared" si="9"/>
        <v>18.237795275590553</v>
      </c>
      <c r="N22" s="108">
        <f t="shared" si="10"/>
        <v>23.823622047244097</v>
      </c>
      <c r="O22" s="110" t="s">
        <v>74</v>
      </c>
      <c r="P22" s="111">
        <f t="shared" si="11"/>
        <v>17.440652440510465</v>
      </c>
      <c r="Q22" s="112">
        <f t="shared" si="12"/>
        <v>25.479421211797309</v>
      </c>
    </row>
    <row r="23" spans="1:17" ht="14.4">
      <c r="A23" s="140"/>
      <c r="B23" s="104">
        <v>2022</v>
      </c>
      <c r="C23" s="78" t="s">
        <v>74</v>
      </c>
      <c r="D23" s="108">
        <f t="shared" si="3"/>
        <v>25.104663212435231</v>
      </c>
      <c r="E23" s="108">
        <f t="shared" si="4"/>
        <v>35.555440414507771</v>
      </c>
      <c r="F23" s="113" t="s">
        <v>74</v>
      </c>
      <c r="G23" s="108">
        <f t="shared" si="5"/>
        <v>18.296052631578949</v>
      </c>
      <c r="H23" s="108">
        <f t="shared" si="6"/>
        <v>32.456140350877199</v>
      </c>
      <c r="I23" s="113" t="s">
        <v>74</v>
      </c>
      <c r="J23" s="108">
        <f t="shared" si="7"/>
        <v>26.572614107883819</v>
      </c>
      <c r="K23" s="108">
        <f t="shared" si="8"/>
        <v>43.008298755186722</v>
      </c>
      <c r="L23" s="113" t="s">
        <v>74</v>
      </c>
      <c r="M23" s="108">
        <f t="shared" si="9"/>
        <v>65.681564245810051</v>
      </c>
      <c r="N23" s="108">
        <f t="shared" si="10"/>
        <v>84.117318435754186</v>
      </c>
      <c r="O23" s="110" t="s">
        <v>74</v>
      </c>
      <c r="P23" s="111">
        <f t="shared" si="11"/>
        <v>33.913723549427012</v>
      </c>
      <c r="Q23" s="112">
        <f t="shared" si="12"/>
        <v>48.784299489081469</v>
      </c>
    </row>
    <row r="24" spans="1:17" ht="14.4">
      <c r="A24" s="141"/>
      <c r="B24" s="85" t="s">
        <v>87</v>
      </c>
      <c r="C24" s="86" t="s">
        <v>74</v>
      </c>
      <c r="D24" s="114">
        <f>AVERAGE(D19:D23)</f>
        <v>24.711683509679659</v>
      </c>
      <c r="E24" s="114">
        <f>AVERAGE(E19:E23)</f>
        <v>33.411194656687698</v>
      </c>
      <c r="F24" s="115" t="s">
        <v>74</v>
      </c>
      <c r="G24" s="114">
        <f>AVERAGE(G19:G23)</f>
        <v>18.987412531384045</v>
      </c>
      <c r="H24" s="114">
        <f>AVERAGE(H19:H23)</f>
        <v>29.4666645440014</v>
      </c>
      <c r="I24" s="115" t="s">
        <v>74</v>
      </c>
      <c r="J24" s="114">
        <f>AVERAGE(J19:J23)</f>
        <v>23.542011672595027</v>
      </c>
      <c r="K24" s="114">
        <f t="shared" ref="K24:Q24" si="13">AVERAGE(K19:K23)</f>
        <v>32.236412384025272</v>
      </c>
      <c r="L24" s="114"/>
      <c r="M24" s="114">
        <f t="shared" si="13"/>
        <v>24.308091152755814</v>
      </c>
      <c r="N24" s="114">
        <f t="shared" si="13"/>
        <v>33.040219695756171</v>
      </c>
      <c r="O24" s="114"/>
      <c r="P24" s="114">
        <f t="shared" si="13"/>
        <v>22.887299716603639</v>
      </c>
      <c r="Q24" s="114">
        <f t="shared" si="13"/>
        <v>32.038622820117638</v>
      </c>
    </row>
    <row r="25" spans="1:17" ht="14.4">
      <c r="A25" s="68" t="s">
        <v>74</v>
      </c>
      <c r="B25" s="69" t="s">
        <v>74</v>
      </c>
      <c r="C25" s="70" t="s">
        <v>74</v>
      </c>
      <c r="D25" s="68" t="s">
        <v>74</v>
      </c>
      <c r="E25" s="68" t="s">
        <v>74</v>
      </c>
      <c r="F25" s="70" t="s">
        <v>74</v>
      </c>
      <c r="G25" s="68" t="s">
        <v>74</v>
      </c>
      <c r="H25" s="68" t="s">
        <v>74</v>
      </c>
      <c r="I25" s="70" t="s">
        <v>74</v>
      </c>
      <c r="J25" s="68" t="s">
        <v>74</v>
      </c>
      <c r="K25" s="68" t="s">
        <v>74</v>
      </c>
      <c r="L25" s="70" t="s">
        <v>74</v>
      </c>
      <c r="M25" s="68" t="s">
        <v>74</v>
      </c>
      <c r="N25" s="68" t="s">
        <v>74</v>
      </c>
      <c r="O25" s="70" t="s">
        <v>74</v>
      </c>
      <c r="P25" s="68" t="s">
        <v>74</v>
      </c>
      <c r="Q25" s="68" t="s">
        <v>74</v>
      </c>
    </row>
    <row r="26" spans="1:17" ht="14.4">
      <c r="A26" s="87" t="s">
        <v>88</v>
      </c>
      <c r="B26" s="87"/>
      <c r="C26" s="88" t="s">
        <v>74</v>
      </c>
      <c r="D26" s="88" t="s">
        <v>74</v>
      </c>
      <c r="E26" s="89" t="s">
        <v>74</v>
      </c>
      <c r="F26" s="88" t="s">
        <v>74</v>
      </c>
      <c r="G26" s="89" t="s">
        <v>74</v>
      </c>
      <c r="H26" s="89" t="s">
        <v>74</v>
      </c>
      <c r="I26" s="88" t="s">
        <v>74</v>
      </c>
      <c r="J26" s="89" t="s">
        <v>74</v>
      </c>
      <c r="K26" s="88" t="s">
        <v>74</v>
      </c>
      <c r="L26" s="88" t="s">
        <v>74</v>
      </c>
      <c r="M26" s="88" t="s">
        <v>74</v>
      </c>
      <c r="N26" s="88" t="s">
        <v>74</v>
      </c>
      <c r="O26" s="88" t="s">
        <v>74</v>
      </c>
      <c r="P26" s="88" t="s">
        <v>74</v>
      </c>
      <c r="Q26" s="88" t="s">
        <v>74</v>
      </c>
    </row>
    <row r="27" spans="1:17" ht="14.4">
      <c r="A27" s="90" t="s">
        <v>89</v>
      </c>
      <c r="B27" s="90"/>
      <c r="C27" s="90"/>
      <c r="D27" s="91">
        <f>AVERAGE(P24:Q24)</f>
        <v>27.462961268360637</v>
      </c>
      <c r="E27" s="92"/>
      <c r="F27" s="93"/>
      <c r="G27" s="93"/>
      <c r="H27" s="90"/>
      <c r="I27" s="93"/>
      <c r="J27" s="92"/>
      <c r="K27" s="93"/>
      <c r="L27" s="93"/>
      <c r="M27" s="93"/>
      <c r="N27" s="93"/>
      <c r="O27" s="93"/>
      <c r="P27" s="93"/>
      <c r="Q27" s="93"/>
    </row>
    <row r="28" spans="1:17" ht="14.4">
      <c r="A28" s="90" t="s">
        <v>90</v>
      </c>
      <c r="B28" s="90"/>
      <c r="C28" s="90"/>
      <c r="D28" s="94">
        <f>AVERAGE(D24:E24)</f>
        <v>29.061439083183679</v>
      </c>
      <c r="E28" s="92"/>
      <c r="F28" s="93"/>
      <c r="G28" s="93"/>
      <c r="H28" s="93"/>
      <c r="I28" s="93"/>
      <c r="J28" s="92"/>
      <c r="K28" s="93"/>
      <c r="L28" s="93"/>
      <c r="M28" s="93"/>
      <c r="N28" s="93"/>
      <c r="O28" s="93"/>
      <c r="P28" s="93"/>
      <c r="Q28" s="93"/>
    </row>
    <row r="29" spans="1:17" ht="14.4">
      <c r="A29" s="92"/>
      <c r="B29" s="90"/>
      <c r="C29" s="93"/>
      <c r="D29" s="92"/>
      <c r="E29" s="92"/>
      <c r="F29" s="93"/>
      <c r="G29" s="92"/>
      <c r="H29" s="92"/>
      <c r="I29" s="93"/>
      <c r="J29" s="92"/>
      <c r="K29" s="92"/>
      <c r="L29" s="93"/>
      <c r="M29" s="92"/>
      <c r="N29" s="92"/>
      <c r="O29" s="93"/>
      <c r="P29" s="92"/>
      <c r="Q29" s="92"/>
    </row>
    <row r="30" spans="1:17" ht="14.4">
      <c r="A30" s="90" t="s">
        <v>91</v>
      </c>
      <c r="B30" s="92"/>
      <c r="C30" s="93"/>
      <c r="D30" s="95">
        <f>AVERAGE(D28,D27)</f>
        <v>28.262200175772158</v>
      </c>
      <c r="E30" s="92"/>
      <c r="F30" s="93"/>
      <c r="G30" s="93"/>
      <c r="H30" s="93"/>
      <c r="I30" s="93"/>
      <c r="J30" s="92"/>
      <c r="K30" s="93"/>
      <c r="L30" s="93"/>
      <c r="M30" s="93"/>
      <c r="N30" s="93"/>
      <c r="O30" s="93"/>
      <c r="P30" s="93"/>
      <c r="Q30" s="93"/>
    </row>
    <row r="31" spans="1:17" ht="14.4">
      <c r="A31" s="90" t="s">
        <v>92</v>
      </c>
      <c r="B31" s="92"/>
      <c r="C31" s="93"/>
      <c r="D31" s="96">
        <v>13.22</v>
      </c>
      <c r="E31" s="92"/>
      <c r="F31" s="93"/>
      <c r="G31" s="93"/>
      <c r="H31" s="93"/>
      <c r="I31" s="93"/>
      <c r="J31" s="92"/>
      <c r="K31" s="93"/>
      <c r="L31" s="93"/>
      <c r="M31" s="93"/>
      <c r="N31" s="93"/>
      <c r="O31" s="93"/>
      <c r="P31" s="93"/>
      <c r="Q31" s="93"/>
    </row>
    <row r="32" spans="1:17" ht="14.4">
      <c r="A32" s="92"/>
      <c r="B32" s="90"/>
      <c r="C32" s="93"/>
      <c r="D32" s="92"/>
      <c r="E32" s="92"/>
      <c r="F32" s="93"/>
      <c r="G32" s="92"/>
      <c r="H32" s="92"/>
      <c r="I32" s="93"/>
      <c r="J32" s="92"/>
      <c r="K32" s="92"/>
      <c r="L32" s="93"/>
      <c r="M32" s="92"/>
      <c r="N32" s="92"/>
      <c r="O32" s="93"/>
      <c r="P32" s="92"/>
      <c r="Q32" s="92"/>
    </row>
    <row r="33" spans="1:17" ht="14.4">
      <c r="A33" s="97" t="s">
        <v>93</v>
      </c>
      <c r="B33" s="97"/>
      <c r="C33" s="98" t="s">
        <v>74</v>
      </c>
      <c r="D33" s="99">
        <f>D30*D31</f>
        <v>373.62628632370792</v>
      </c>
      <c r="E33" s="100" t="s">
        <v>74</v>
      </c>
      <c r="F33" s="98" t="s">
        <v>74</v>
      </c>
      <c r="G33" s="98" t="s">
        <v>74</v>
      </c>
      <c r="H33" s="98" t="s">
        <v>74</v>
      </c>
      <c r="I33" s="98" t="s">
        <v>74</v>
      </c>
      <c r="J33" s="100" t="s">
        <v>74</v>
      </c>
      <c r="K33" s="100" t="s">
        <v>74</v>
      </c>
      <c r="L33" s="98" t="s">
        <v>74</v>
      </c>
      <c r="M33" s="100" t="s">
        <v>74</v>
      </c>
      <c r="N33" s="100" t="s">
        <v>74</v>
      </c>
      <c r="O33" s="98" t="s">
        <v>74</v>
      </c>
      <c r="P33" s="100" t="s">
        <v>74</v>
      </c>
      <c r="Q33" s="100" t="s">
        <v>74</v>
      </c>
    </row>
    <row r="34" spans="1:17" ht="14.4">
      <c r="A34" s="97" t="s">
        <v>94</v>
      </c>
      <c r="B34" s="92"/>
      <c r="C34" s="93" t="e" vm="1">
        <v>#VALUE!</v>
      </c>
      <c r="D34" s="130" cm="1">
        <f t="array" ref="D34">_FV(C34,"Price")</f>
        <v>415.28</v>
      </c>
      <c r="E34" s="107"/>
      <c r="F34" s="93"/>
      <c r="G34" s="93"/>
      <c r="H34" s="93"/>
      <c r="I34" s="93"/>
      <c r="J34" s="92"/>
      <c r="K34" s="92"/>
      <c r="L34" s="93"/>
      <c r="M34" s="92"/>
      <c r="N34" s="92"/>
      <c r="O34" s="93"/>
      <c r="P34" s="92"/>
      <c r="Q34" s="92"/>
    </row>
    <row r="35" spans="1:17" ht="13.8">
      <c r="A35" s="97" t="s">
        <v>95</v>
      </c>
      <c r="B35" s="97"/>
      <c r="D35" s="131"/>
    </row>
  </sheetData>
  <mergeCells count="33">
    <mergeCell ref="A7:A11"/>
    <mergeCell ref="D3:E3"/>
    <mergeCell ref="G3:H3"/>
    <mergeCell ref="J3:K3"/>
    <mergeCell ref="M3:N3"/>
    <mergeCell ref="P15:Q15"/>
    <mergeCell ref="P3:Q3"/>
    <mergeCell ref="P13:Q13"/>
    <mergeCell ref="D14:E14"/>
    <mergeCell ref="G14:H14"/>
    <mergeCell ref="J14:K14"/>
    <mergeCell ref="M14:N14"/>
    <mergeCell ref="P14:Q14"/>
    <mergeCell ref="P16:Q16"/>
    <mergeCell ref="D17:E17"/>
    <mergeCell ref="G17:H17"/>
    <mergeCell ref="J17:K17"/>
    <mergeCell ref="M17:N17"/>
    <mergeCell ref="P17:Q17"/>
    <mergeCell ref="A19:A24"/>
    <mergeCell ref="D16:E16"/>
    <mergeCell ref="G16:H16"/>
    <mergeCell ref="J16:K16"/>
    <mergeCell ref="M16:N16"/>
    <mergeCell ref="A13:A17"/>
    <mergeCell ref="D13:E13"/>
    <mergeCell ref="G13:H13"/>
    <mergeCell ref="J13:K13"/>
    <mergeCell ref="M13:N13"/>
    <mergeCell ref="D15:E15"/>
    <mergeCell ref="G15:H15"/>
    <mergeCell ref="J15:K15"/>
    <mergeCell ref="M15:N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E4303-2039-4745-9F1A-634B88172FD9}">
  <dimension ref="A1:R35"/>
  <sheetViews>
    <sheetView topLeftCell="A3" workbookViewId="0">
      <selection activeCell="D43" sqref="D43"/>
    </sheetView>
  </sheetViews>
  <sheetFormatPr defaultRowHeight="13.2"/>
  <cols>
    <col min="1" max="1" width="17.44140625" customWidth="1"/>
    <col min="2" max="2" width="21.88671875" customWidth="1"/>
    <col min="3" max="3" width="2.44140625" customWidth="1"/>
    <col min="6" max="6" width="1.6640625" customWidth="1"/>
    <col min="9" max="9" width="1.109375" customWidth="1"/>
    <col min="12" max="12" width="1.109375" customWidth="1"/>
    <col min="15" max="15" width="1" customWidth="1"/>
  </cols>
  <sheetData>
    <row r="1" spans="1:17" ht="18">
      <c r="A1" s="66" t="s">
        <v>73</v>
      </c>
      <c r="B1" s="66"/>
      <c r="C1" s="67" t="s">
        <v>74</v>
      </c>
      <c r="D1" s="67" t="s">
        <v>74</v>
      </c>
      <c r="E1" s="67" t="s">
        <v>74</v>
      </c>
      <c r="F1" s="67" t="s">
        <v>74</v>
      </c>
      <c r="G1" s="67" t="s">
        <v>74</v>
      </c>
      <c r="H1" s="67" t="s">
        <v>74</v>
      </c>
      <c r="I1" s="67" t="s">
        <v>74</v>
      </c>
      <c r="J1" s="67" t="s">
        <v>74</v>
      </c>
      <c r="K1" s="67" t="s">
        <v>74</v>
      </c>
      <c r="L1" s="67" t="s">
        <v>74</v>
      </c>
      <c r="M1" s="67" t="s">
        <v>74</v>
      </c>
      <c r="N1" s="67" t="s">
        <v>74</v>
      </c>
      <c r="O1" s="67" t="s">
        <v>74</v>
      </c>
      <c r="P1" s="67" t="s">
        <v>74</v>
      </c>
      <c r="Q1" s="67" t="s">
        <v>74</v>
      </c>
    </row>
    <row r="2" spans="1:17" ht="14.4">
      <c r="A2" s="68" t="s">
        <v>74</v>
      </c>
      <c r="B2" s="69" t="s">
        <v>74</v>
      </c>
      <c r="C2" s="70" t="s">
        <v>74</v>
      </c>
      <c r="D2" s="68" t="s">
        <v>74</v>
      </c>
      <c r="E2" s="68" t="s">
        <v>74</v>
      </c>
      <c r="F2" s="70" t="s">
        <v>74</v>
      </c>
      <c r="G2" s="68" t="s">
        <v>74</v>
      </c>
      <c r="H2" s="68" t="s">
        <v>74</v>
      </c>
      <c r="I2" s="70" t="s">
        <v>74</v>
      </c>
      <c r="J2" s="68" t="s">
        <v>74</v>
      </c>
      <c r="K2" s="68" t="s">
        <v>74</v>
      </c>
      <c r="L2" s="70" t="s">
        <v>74</v>
      </c>
      <c r="M2" s="68" t="s">
        <v>74</v>
      </c>
      <c r="N2" s="68" t="s">
        <v>74</v>
      </c>
      <c r="O2" s="70" t="s">
        <v>74</v>
      </c>
      <c r="P2" s="68" t="s">
        <v>74</v>
      </c>
      <c r="Q2" s="68" t="s">
        <v>74</v>
      </c>
    </row>
    <row r="3" spans="1:17" ht="12.75" customHeight="1">
      <c r="A3" s="71" t="s">
        <v>75</v>
      </c>
      <c r="B3" s="72" t="s">
        <v>74</v>
      </c>
      <c r="C3" s="73" t="s">
        <v>74</v>
      </c>
      <c r="D3" s="157" t="s">
        <v>96</v>
      </c>
      <c r="E3" s="157"/>
      <c r="F3" s="73" t="s">
        <v>74</v>
      </c>
      <c r="G3" s="158" t="s">
        <v>97</v>
      </c>
      <c r="H3" s="158"/>
      <c r="I3" s="73" t="s">
        <v>74</v>
      </c>
      <c r="J3" s="158" t="s">
        <v>98</v>
      </c>
      <c r="K3" s="158"/>
      <c r="L3" s="73" t="s">
        <v>74</v>
      </c>
      <c r="M3" s="158" t="s">
        <v>99</v>
      </c>
      <c r="N3" s="158"/>
      <c r="O3" s="73" t="s">
        <v>74</v>
      </c>
      <c r="P3" s="153" t="s">
        <v>80</v>
      </c>
      <c r="Q3" s="153"/>
    </row>
    <row r="4" spans="1:17" ht="14.4">
      <c r="A4" s="68" t="s">
        <v>74</v>
      </c>
      <c r="B4" s="69" t="s">
        <v>74</v>
      </c>
      <c r="C4" s="70" t="s">
        <v>74</v>
      </c>
      <c r="D4" s="68" t="s">
        <v>74</v>
      </c>
      <c r="E4" s="68" t="s">
        <v>74</v>
      </c>
      <c r="F4" s="70" t="s">
        <v>74</v>
      </c>
      <c r="G4" s="68" t="s">
        <v>74</v>
      </c>
      <c r="H4" s="68" t="s">
        <v>74</v>
      </c>
      <c r="I4" s="70" t="s">
        <v>74</v>
      </c>
      <c r="J4" s="68" t="s">
        <v>74</v>
      </c>
      <c r="K4" s="68" t="s">
        <v>74</v>
      </c>
      <c r="L4" s="70" t="s">
        <v>74</v>
      </c>
      <c r="M4" s="68" t="s">
        <v>74</v>
      </c>
      <c r="N4" s="68" t="s">
        <v>74</v>
      </c>
      <c r="O4" s="70" t="s">
        <v>74</v>
      </c>
      <c r="P4" s="68" t="s">
        <v>74</v>
      </c>
      <c r="Q4" s="68" t="s">
        <v>74</v>
      </c>
    </row>
    <row r="5" spans="1:17" ht="14.4">
      <c r="A5" s="74" t="s">
        <v>74</v>
      </c>
      <c r="B5" s="102" t="s">
        <v>81</v>
      </c>
      <c r="C5" s="73" t="s">
        <v>74</v>
      </c>
      <c r="D5" s="102" t="s">
        <v>82</v>
      </c>
      <c r="E5" s="102" t="s">
        <v>83</v>
      </c>
      <c r="F5" s="73" t="s">
        <v>74</v>
      </c>
      <c r="G5" s="102" t="s">
        <v>82</v>
      </c>
      <c r="H5" s="102" t="s">
        <v>83</v>
      </c>
      <c r="I5" s="73" t="s">
        <v>74</v>
      </c>
      <c r="J5" s="102" t="s">
        <v>82</v>
      </c>
      <c r="K5" s="102" t="s">
        <v>83</v>
      </c>
      <c r="L5" s="73" t="s">
        <v>74</v>
      </c>
      <c r="M5" s="102" t="s">
        <v>82</v>
      </c>
      <c r="N5" s="102" t="s">
        <v>83</v>
      </c>
      <c r="O5" s="73" t="s">
        <v>74</v>
      </c>
      <c r="P5" s="102" t="s">
        <v>82</v>
      </c>
      <c r="Q5" s="102" t="s">
        <v>83</v>
      </c>
    </row>
    <row r="6" spans="1:17" ht="14.4">
      <c r="A6" s="68" t="s">
        <v>74</v>
      </c>
      <c r="B6" s="69" t="s">
        <v>74</v>
      </c>
      <c r="C6" s="70" t="s">
        <v>74</v>
      </c>
      <c r="D6" s="68" t="s">
        <v>74</v>
      </c>
      <c r="E6" s="68" t="s">
        <v>74</v>
      </c>
      <c r="F6" s="70" t="s">
        <v>74</v>
      </c>
      <c r="G6" s="68" t="s">
        <v>74</v>
      </c>
      <c r="H6" s="68" t="s">
        <v>74</v>
      </c>
      <c r="I6" s="70" t="s">
        <v>74</v>
      </c>
      <c r="J6" s="68" t="s">
        <v>74</v>
      </c>
      <c r="K6" s="128" t="s">
        <v>74</v>
      </c>
      <c r="L6" s="70" t="s">
        <v>74</v>
      </c>
      <c r="M6" s="68" t="s">
        <v>74</v>
      </c>
      <c r="N6" s="68" t="s">
        <v>74</v>
      </c>
      <c r="O6" s="70" t="s">
        <v>74</v>
      </c>
      <c r="P6" s="68" t="s">
        <v>74</v>
      </c>
      <c r="Q6" s="68" t="s">
        <v>74</v>
      </c>
    </row>
    <row r="7" spans="1:17" ht="14.4">
      <c r="A7" s="154" t="s">
        <v>84</v>
      </c>
      <c r="B7" s="124">
        <v>2019</v>
      </c>
      <c r="C7" s="75" t="s">
        <v>74</v>
      </c>
      <c r="D7" s="76">
        <v>35.549999999999997</v>
      </c>
      <c r="E7" s="76">
        <v>58.02</v>
      </c>
      <c r="F7" s="75" t="s">
        <v>74</v>
      </c>
      <c r="G7" s="76">
        <v>42.62</v>
      </c>
      <c r="H7" s="76">
        <v>48.87</v>
      </c>
      <c r="I7" s="75" t="s">
        <v>74</v>
      </c>
      <c r="J7" s="76">
        <v>16.03</v>
      </c>
      <c r="K7" s="76">
        <v>25.5</v>
      </c>
      <c r="L7" s="75" t="s">
        <v>74</v>
      </c>
      <c r="M7" s="76">
        <v>54.82</v>
      </c>
      <c r="N7" s="76">
        <v>87.92</v>
      </c>
      <c r="O7" s="70" t="s">
        <v>74</v>
      </c>
      <c r="P7" s="77">
        <f>AVERAGE(D7,G7,J7,M7)</f>
        <v>37.254999999999995</v>
      </c>
      <c r="Q7" s="77">
        <v>55.08</v>
      </c>
    </row>
    <row r="8" spans="1:17" ht="14.4">
      <c r="A8" s="155"/>
      <c r="B8" s="125">
        <v>2020</v>
      </c>
      <c r="C8" s="78" t="s">
        <v>74</v>
      </c>
      <c r="D8" s="79">
        <v>54.74</v>
      </c>
      <c r="E8" s="79">
        <v>134.18</v>
      </c>
      <c r="F8" s="78" t="s">
        <v>74</v>
      </c>
      <c r="G8" s="79">
        <v>45.3</v>
      </c>
      <c r="H8" s="79">
        <v>69.8</v>
      </c>
      <c r="I8" s="78" t="s">
        <v>74</v>
      </c>
      <c r="J8" s="79">
        <v>13.11</v>
      </c>
      <c r="K8" s="79">
        <v>23.35</v>
      </c>
      <c r="L8" s="78" t="s">
        <v>74</v>
      </c>
      <c r="M8" s="79">
        <v>35.35</v>
      </c>
      <c r="N8" s="79">
        <v>72.16</v>
      </c>
      <c r="O8" s="70" t="s">
        <v>74</v>
      </c>
      <c r="P8" s="77">
        <f t="shared" ref="P8:P11" si="0">AVERAGE(D8,G8,J8,M8)</f>
        <v>37.125</v>
      </c>
      <c r="Q8" s="77">
        <v>74.87</v>
      </c>
    </row>
    <row r="9" spans="1:17" ht="14.4">
      <c r="A9" s="155"/>
      <c r="B9" s="125">
        <v>2021</v>
      </c>
      <c r="C9" s="78" t="s">
        <v>74</v>
      </c>
      <c r="D9" s="79">
        <v>108.77</v>
      </c>
      <c r="E9" s="79">
        <v>159.69</v>
      </c>
      <c r="F9" s="78" t="s">
        <v>74</v>
      </c>
      <c r="G9" s="79">
        <v>28.87</v>
      </c>
      <c r="H9" s="79">
        <v>77.22</v>
      </c>
      <c r="I9" s="78" t="s">
        <v>74</v>
      </c>
      <c r="J9" s="79">
        <v>18.28</v>
      </c>
      <c r="K9" s="79">
        <v>35.57</v>
      </c>
      <c r="L9" s="78" t="s">
        <v>74</v>
      </c>
      <c r="M9" s="79">
        <v>40.65</v>
      </c>
      <c r="N9" s="79">
        <v>77.709999999999994</v>
      </c>
      <c r="O9" s="70" t="s">
        <v>74</v>
      </c>
      <c r="P9" s="77">
        <f t="shared" si="0"/>
        <v>49.142499999999998</v>
      </c>
      <c r="Q9" s="77">
        <v>87.55</v>
      </c>
    </row>
    <row r="10" spans="1:17" ht="14.4">
      <c r="A10" s="155"/>
      <c r="B10" s="126">
        <v>2022</v>
      </c>
      <c r="C10" s="70" t="s">
        <v>74</v>
      </c>
      <c r="D10" s="80">
        <v>130.06</v>
      </c>
      <c r="E10" s="80">
        <v>182.01</v>
      </c>
      <c r="F10" s="70" t="s">
        <v>74</v>
      </c>
      <c r="G10" s="80">
        <v>53.6</v>
      </c>
      <c r="H10" s="80">
        <v>114.54</v>
      </c>
      <c r="I10" s="70" t="s">
        <v>74</v>
      </c>
      <c r="J10" s="80">
        <v>24.69</v>
      </c>
      <c r="K10" s="80">
        <v>40.340000000000003</v>
      </c>
      <c r="L10" s="70" t="s">
        <v>74</v>
      </c>
      <c r="M10" s="80">
        <v>73.25</v>
      </c>
      <c r="N10" s="80">
        <v>95.48</v>
      </c>
      <c r="O10" s="70" t="s">
        <v>74</v>
      </c>
      <c r="P10" s="77">
        <f t="shared" si="0"/>
        <v>70.400000000000006</v>
      </c>
      <c r="Q10" s="77">
        <v>108.09</v>
      </c>
    </row>
    <row r="11" spans="1:17" ht="14.4">
      <c r="A11" s="156"/>
      <c r="B11" s="127">
        <v>2023</v>
      </c>
      <c r="C11" s="81" t="s">
        <v>74</v>
      </c>
      <c r="D11" s="82">
        <v>125.02</v>
      </c>
      <c r="E11" s="82">
        <v>196.45</v>
      </c>
      <c r="F11" s="81" t="s">
        <v>74</v>
      </c>
      <c r="G11" s="83">
        <v>33.770000000000003</v>
      </c>
      <c r="H11" s="83">
        <v>60.77</v>
      </c>
      <c r="I11" s="81" t="s">
        <v>74</v>
      </c>
      <c r="J11" s="83">
        <v>25.57</v>
      </c>
      <c r="K11" s="83">
        <v>33.56</v>
      </c>
      <c r="L11" s="81" t="s">
        <v>74</v>
      </c>
      <c r="M11" s="83">
        <v>58.18</v>
      </c>
      <c r="N11" s="83">
        <v>78.56</v>
      </c>
      <c r="O11" s="70" t="s">
        <v>74</v>
      </c>
      <c r="P11" s="77">
        <f t="shared" si="0"/>
        <v>60.634999999999998</v>
      </c>
      <c r="Q11" s="77">
        <v>92.34</v>
      </c>
    </row>
    <row r="12" spans="1:17" ht="14.4">
      <c r="A12" s="68" t="s">
        <v>74</v>
      </c>
      <c r="B12" s="69" t="s">
        <v>74</v>
      </c>
      <c r="C12" s="70" t="s">
        <v>74</v>
      </c>
      <c r="D12" s="68" t="s">
        <v>74</v>
      </c>
      <c r="E12" s="68" t="s">
        <v>74</v>
      </c>
      <c r="F12" s="70" t="s">
        <v>74</v>
      </c>
      <c r="G12" s="68" t="s">
        <v>74</v>
      </c>
      <c r="H12" s="68" t="s">
        <v>74</v>
      </c>
      <c r="I12" s="70" t="s">
        <v>74</v>
      </c>
      <c r="J12" s="68" t="s">
        <v>74</v>
      </c>
      <c r="K12" s="68" t="s">
        <v>74</v>
      </c>
      <c r="L12" s="70" t="s">
        <v>74</v>
      </c>
      <c r="M12" s="68" t="s">
        <v>74</v>
      </c>
      <c r="N12" s="68" t="s">
        <v>74</v>
      </c>
      <c r="O12" s="70" t="s">
        <v>74</v>
      </c>
      <c r="P12" s="84" t="s">
        <v>74</v>
      </c>
      <c r="Q12" s="84" t="s">
        <v>74</v>
      </c>
    </row>
    <row r="13" spans="1:17" ht="12.75" customHeight="1">
      <c r="A13" s="144" t="s">
        <v>85</v>
      </c>
      <c r="B13" s="124">
        <v>2019</v>
      </c>
      <c r="C13" s="75" t="s">
        <v>74</v>
      </c>
      <c r="D13" s="147">
        <v>2.97</v>
      </c>
      <c r="E13" s="148"/>
      <c r="F13" s="75" t="s">
        <v>74</v>
      </c>
      <c r="G13" s="147">
        <v>-3</v>
      </c>
      <c r="H13" s="148"/>
      <c r="I13" s="75" t="s">
        <v>74</v>
      </c>
      <c r="J13" s="147">
        <v>2.0699999999999998</v>
      </c>
      <c r="K13" s="148"/>
      <c r="L13" s="75" t="s">
        <v>74</v>
      </c>
      <c r="M13" s="147">
        <v>4.51</v>
      </c>
      <c r="N13" s="148"/>
      <c r="O13" s="70" t="s">
        <v>74</v>
      </c>
      <c r="P13" s="149">
        <v>1.64</v>
      </c>
      <c r="Q13" s="150"/>
    </row>
    <row r="14" spans="1:17" ht="12.75" customHeight="1">
      <c r="A14" s="145"/>
      <c r="B14" s="125">
        <v>2020</v>
      </c>
      <c r="C14" s="78" t="s">
        <v>74</v>
      </c>
      <c r="D14" s="142">
        <v>3.28</v>
      </c>
      <c r="E14" s="143"/>
      <c r="F14" s="78" t="s">
        <v>74</v>
      </c>
      <c r="G14" s="142">
        <v>6.03</v>
      </c>
      <c r="H14" s="143"/>
      <c r="I14" s="78" t="s">
        <v>74</v>
      </c>
      <c r="J14" s="142">
        <v>2</v>
      </c>
      <c r="K14" s="143"/>
      <c r="L14" s="78" t="s">
        <v>74</v>
      </c>
      <c r="M14" s="142">
        <v>3.52</v>
      </c>
      <c r="N14" s="143"/>
      <c r="O14" s="70" t="s">
        <v>74</v>
      </c>
      <c r="P14" s="149">
        <v>3.71</v>
      </c>
      <c r="Q14" s="150"/>
    </row>
    <row r="15" spans="1:17" ht="12.75" customHeight="1">
      <c r="A15" s="145"/>
      <c r="B15" s="125">
        <v>2021</v>
      </c>
      <c r="C15" s="78" t="s">
        <v>74</v>
      </c>
      <c r="D15" s="142">
        <v>5.61</v>
      </c>
      <c r="E15" s="143"/>
      <c r="F15" s="78" t="s">
        <v>74</v>
      </c>
      <c r="G15" s="142">
        <v>4.22</v>
      </c>
      <c r="H15" s="143"/>
      <c r="I15" s="78" t="s">
        <v>74</v>
      </c>
      <c r="J15" s="142">
        <v>5.33</v>
      </c>
      <c r="K15" s="143"/>
      <c r="L15" s="78" t="s">
        <v>74</v>
      </c>
      <c r="M15" s="142">
        <v>3.23</v>
      </c>
      <c r="N15" s="143"/>
      <c r="O15" s="70" t="s">
        <v>74</v>
      </c>
      <c r="P15" s="149">
        <v>4.5999999999999996</v>
      </c>
      <c r="Q15" s="150"/>
    </row>
    <row r="16" spans="1:17" ht="12.75" customHeight="1">
      <c r="A16" s="145"/>
      <c r="B16" s="126">
        <v>2022</v>
      </c>
      <c r="C16" s="70" t="s">
        <v>74</v>
      </c>
      <c r="D16" s="142">
        <v>6.11</v>
      </c>
      <c r="E16" s="143"/>
      <c r="F16" s="70" t="s">
        <v>74</v>
      </c>
      <c r="G16" s="142">
        <v>7.02</v>
      </c>
      <c r="H16" s="143"/>
      <c r="I16" s="70" t="s">
        <v>74</v>
      </c>
      <c r="J16" s="142">
        <v>3.05</v>
      </c>
      <c r="K16" s="143"/>
      <c r="L16" s="70" t="s">
        <v>74</v>
      </c>
      <c r="M16" s="142">
        <v>4.03</v>
      </c>
      <c r="N16" s="143"/>
      <c r="O16" s="70" t="s">
        <v>74</v>
      </c>
      <c r="P16" s="149">
        <v>5.05</v>
      </c>
      <c r="Q16" s="150"/>
    </row>
    <row r="17" spans="1:17" ht="12.75" customHeight="1">
      <c r="A17" s="146"/>
      <c r="B17" s="127">
        <v>2023</v>
      </c>
      <c r="C17" s="81" t="s">
        <v>74</v>
      </c>
      <c r="D17" s="151">
        <v>6.13</v>
      </c>
      <c r="E17" s="152"/>
      <c r="F17" s="81" t="s">
        <v>74</v>
      </c>
      <c r="G17" s="151">
        <v>3.24</v>
      </c>
      <c r="H17" s="152"/>
      <c r="I17" s="81" t="s">
        <v>74</v>
      </c>
      <c r="J17" s="151">
        <v>3.26</v>
      </c>
      <c r="K17" s="152"/>
      <c r="L17" s="81" t="s">
        <v>74</v>
      </c>
      <c r="M17" s="151">
        <v>5.79</v>
      </c>
      <c r="N17" s="152"/>
      <c r="O17" s="70" t="s">
        <v>74</v>
      </c>
      <c r="P17" s="149">
        <v>4.6100000000000003</v>
      </c>
      <c r="Q17" s="150"/>
    </row>
    <row r="18" spans="1:17" ht="14.4">
      <c r="A18" s="68" t="s">
        <v>74</v>
      </c>
      <c r="B18" s="69" t="s">
        <v>74</v>
      </c>
      <c r="C18" s="70" t="s">
        <v>74</v>
      </c>
      <c r="D18" s="68" t="s">
        <v>74</v>
      </c>
      <c r="E18" s="68" t="s">
        <v>74</v>
      </c>
      <c r="F18" s="70" t="s">
        <v>74</v>
      </c>
      <c r="G18" s="68" t="s">
        <v>74</v>
      </c>
      <c r="H18" s="68" t="s">
        <v>74</v>
      </c>
      <c r="I18" s="70" t="s">
        <v>74</v>
      </c>
      <c r="J18" s="68" t="s">
        <v>74</v>
      </c>
      <c r="K18" s="68" t="s">
        <v>74</v>
      </c>
      <c r="L18" s="70" t="s">
        <v>74</v>
      </c>
      <c r="M18" s="68" t="s">
        <v>74</v>
      </c>
      <c r="N18" s="68" t="s">
        <v>74</v>
      </c>
      <c r="O18" s="70" t="s">
        <v>74</v>
      </c>
      <c r="P18" s="68" t="s">
        <v>74</v>
      </c>
      <c r="Q18" s="68" t="s">
        <v>74</v>
      </c>
    </row>
    <row r="19" spans="1:17" ht="14.4">
      <c r="A19" s="139" t="s">
        <v>86</v>
      </c>
      <c r="B19" s="124">
        <v>2019</v>
      </c>
      <c r="C19" s="75" t="s">
        <v>74</v>
      </c>
      <c r="D19" s="116">
        <v>12</v>
      </c>
      <c r="E19" s="116">
        <v>19.5</v>
      </c>
      <c r="F19" s="75" t="s">
        <v>74</v>
      </c>
      <c r="G19" s="116" t="s">
        <v>100</v>
      </c>
      <c r="H19" s="116" t="s">
        <v>100</v>
      </c>
      <c r="I19" s="75" t="s">
        <v>74</v>
      </c>
      <c r="J19" s="116">
        <v>7.7</v>
      </c>
      <c r="K19" s="116">
        <v>12.3</v>
      </c>
      <c r="L19" s="75" t="s">
        <v>74</v>
      </c>
      <c r="M19" s="116">
        <v>12.2</v>
      </c>
      <c r="N19" s="116">
        <v>19.5</v>
      </c>
      <c r="O19" s="117" t="s">
        <v>74</v>
      </c>
      <c r="P19" s="118">
        <v>9.9</v>
      </c>
      <c r="Q19" s="119">
        <v>15.9</v>
      </c>
    </row>
    <row r="20" spans="1:17" ht="14.4">
      <c r="A20" s="140"/>
      <c r="B20" s="125">
        <v>2020</v>
      </c>
      <c r="C20" s="78" t="s">
        <v>74</v>
      </c>
      <c r="D20" s="120">
        <v>16.7</v>
      </c>
      <c r="E20" s="120">
        <v>40.9</v>
      </c>
      <c r="F20" s="78" t="s">
        <v>74</v>
      </c>
      <c r="G20" s="120">
        <v>7.5</v>
      </c>
      <c r="H20" s="120">
        <v>11.6</v>
      </c>
      <c r="I20" s="78" t="s">
        <v>74</v>
      </c>
      <c r="J20" s="120">
        <v>6.6</v>
      </c>
      <c r="K20" s="120">
        <v>11.7</v>
      </c>
      <c r="L20" s="78" t="s">
        <v>74</v>
      </c>
      <c r="M20" s="120">
        <v>10</v>
      </c>
      <c r="N20" s="120">
        <v>20.5</v>
      </c>
      <c r="O20" s="117" t="s">
        <v>74</v>
      </c>
      <c r="P20" s="120">
        <v>8</v>
      </c>
      <c r="Q20" s="121">
        <v>14.6</v>
      </c>
    </row>
    <row r="21" spans="1:17" ht="14.4">
      <c r="A21" s="140"/>
      <c r="B21" s="125">
        <v>2021</v>
      </c>
      <c r="C21" s="78" t="s">
        <v>74</v>
      </c>
      <c r="D21" s="120">
        <v>19.399999999999999</v>
      </c>
      <c r="E21" s="120">
        <v>28.5</v>
      </c>
      <c r="F21" s="78" t="s">
        <v>74</v>
      </c>
      <c r="G21" s="120">
        <v>6.8</v>
      </c>
      <c r="H21" s="120">
        <v>18.3</v>
      </c>
      <c r="I21" s="78" t="s">
        <v>74</v>
      </c>
      <c r="J21" s="120">
        <v>3.4</v>
      </c>
      <c r="K21" s="120">
        <v>6.7</v>
      </c>
      <c r="L21" s="78" t="s">
        <v>74</v>
      </c>
      <c r="M21" s="120">
        <v>12.6</v>
      </c>
      <c r="N21" s="120">
        <v>24.1</v>
      </c>
      <c r="O21" s="117" t="s">
        <v>74</v>
      </c>
      <c r="P21" s="120">
        <v>7.6</v>
      </c>
      <c r="Q21" s="121">
        <v>16.3</v>
      </c>
    </row>
    <row r="22" spans="1:17" ht="14.4">
      <c r="A22" s="140"/>
      <c r="B22" s="125">
        <v>2022</v>
      </c>
      <c r="C22" s="78" t="s">
        <v>74</v>
      </c>
      <c r="D22" s="120">
        <v>21.3</v>
      </c>
      <c r="E22" s="120">
        <v>29.8</v>
      </c>
      <c r="F22" s="78" t="s">
        <v>74</v>
      </c>
      <c r="G22" s="120">
        <v>7.6</v>
      </c>
      <c r="H22" s="120">
        <v>16.3</v>
      </c>
      <c r="I22" s="78" t="s">
        <v>74</v>
      </c>
      <c r="J22" s="120">
        <v>8.1</v>
      </c>
      <c r="K22" s="120">
        <v>13.2</v>
      </c>
      <c r="L22" s="78" t="s">
        <v>74</v>
      </c>
      <c r="M22" s="120">
        <v>18.2</v>
      </c>
      <c r="N22" s="120">
        <v>23.7</v>
      </c>
      <c r="O22" s="117" t="s">
        <v>74</v>
      </c>
      <c r="P22" s="120">
        <v>11.3</v>
      </c>
      <c r="Q22" s="121">
        <v>17.7</v>
      </c>
    </row>
    <row r="23" spans="1:17" ht="14.4">
      <c r="A23" s="140"/>
      <c r="B23" s="125">
        <v>2023</v>
      </c>
      <c r="C23" s="78" t="s">
        <v>74</v>
      </c>
      <c r="D23" s="120">
        <v>20.399999999999999</v>
      </c>
      <c r="E23" s="120">
        <v>32</v>
      </c>
      <c r="F23" s="78" t="s">
        <v>74</v>
      </c>
      <c r="G23" s="120">
        <v>10.4</v>
      </c>
      <c r="H23" s="120">
        <v>18.8</v>
      </c>
      <c r="I23" s="78" t="s">
        <v>74</v>
      </c>
      <c r="J23" s="120">
        <v>7.8</v>
      </c>
      <c r="K23" s="120">
        <v>10.3</v>
      </c>
      <c r="L23" s="78" t="s">
        <v>74</v>
      </c>
      <c r="M23" s="120">
        <v>10</v>
      </c>
      <c r="N23" s="120">
        <v>13.6</v>
      </c>
      <c r="O23" s="117" t="s">
        <v>74</v>
      </c>
      <c r="P23" s="120">
        <v>9.4</v>
      </c>
      <c r="Q23" s="121">
        <v>14.2</v>
      </c>
    </row>
    <row r="24" spans="1:17" ht="14.4">
      <c r="A24" s="141"/>
      <c r="B24" s="85" t="s">
        <v>87</v>
      </c>
      <c r="C24" s="86" t="s">
        <v>74</v>
      </c>
      <c r="D24" s="85">
        <v>17.899999999999999</v>
      </c>
      <c r="E24" s="85">
        <v>30.1</v>
      </c>
      <c r="F24" s="86" t="s">
        <v>74</v>
      </c>
      <c r="G24" s="85">
        <v>8.1</v>
      </c>
      <c r="H24" s="85">
        <v>16.2</v>
      </c>
      <c r="I24" s="86" t="s">
        <v>74</v>
      </c>
      <c r="J24" s="85">
        <v>6.7</v>
      </c>
      <c r="K24" s="85">
        <v>10.8</v>
      </c>
      <c r="L24" s="86" t="s">
        <v>74</v>
      </c>
      <c r="M24" s="85">
        <v>12.6</v>
      </c>
      <c r="N24" s="85">
        <v>20.3</v>
      </c>
      <c r="O24" s="117" t="s">
        <v>74</v>
      </c>
      <c r="P24" s="122">
        <v>9.3000000000000007</v>
      </c>
      <c r="Q24" s="123">
        <v>15.8</v>
      </c>
    </row>
    <row r="25" spans="1:17" ht="14.4">
      <c r="A25" s="68" t="s">
        <v>74</v>
      </c>
      <c r="B25" s="69" t="s">
        <v>74</v>
      </c>
      <c r="C25" s="70" t="s">
        <v>74</v>
      </c>
      <c r="D25" s="68" t="s">
        <v>74</v>
      </c>
      <c r="E25" s="68" t="s">
        <v>74</v>
      </c>
      <c r="F25" s="70" t="s">
        <v>74</v>
      </c>
      <c r="G25" s="68" t="s">
        <v>74</v>
      </c>
      <c r="H25" s="68" t="s">
        <v>74</v>
      </c>
      <c r="I25" s="70" t="s">
        <v>74</v>
      </c>
      <c r="J25" s="68" t="s">
        <v>74</v>
      </c>
      <c r="K25" s="68" t="s">
        <v>74</v>
      </c>
      <c r="L25" s="70" t="s">
        <v>74</v>
      </c>
      <c r="M25" s="68" t="s">
        <v>74</v>
      </c>
      <c r="N25" s="68" t="s">
        <v>74</v>
      </c>
      <c r="O25" s="70" t="s">
        <v>74</v>
      </c>
      <c r="P25" s="68" t="s">
        <v>74</v>
      </c>
      <c r="Q25" s="68" t="s">
        <v>74</v>
      </c>
    </row>
    <row r="26" spans="1:17" ht="14.4">
      <c r="A26" s="87" t="s">
        <v>88</v>
      </c>
      <c r="B26" s="87"/>
      <c r="C26" s="88" t="s">
        <v>74</v>
      </c>
      <c r="D26" s="88" t="s">
        <v>74</v>
      </c>
      <c r="E26" s="89" t="s">
        <v>74</v>
      </c>
      <c r="F26" s="88" t="s">
        <v>74</v>
      </c>
      <c r="G26" s="89" t="s">
        <v>74</v>
      </c>
      <c r="H26" s="89" t="s">
        <v>74</v>
      </c>
      <c r="I26" s="88" t="s">
        <v>74</v>
      </c>
      <c r="J26" s="89" t="s">
        <v>74</v>
      </c>
      <c r="K26" s="88" t="s">
        <v>74</v>
      </c>
      <c r="L26" s="88" t="s">
        <v>74</v>
      </c>
      <c r="M26" s="88" t="s">
        <v>74</v>
      </c>
      <c r="N26" s="88" t="s">
        <v>74</v>
      </c>
      <c r="O26" s="88" t="s">
        <v>74</v>
      </c>
      <c r="P26" s="88" t="s">
        <v>74</v>
      </c>
      <c r="Q26" s="88" t="s">
        <v>74</v>
      </c>
    </row>
    <row r="27" spans="1:17" ht="14.4">
      <c r="A27" s="90" t="s">
        <v>89</v>
      </c>
      <c r="B27" s="90"/>
      <c r="C27" s="90"/>
      <c r="D27" s="91">
        <v>12.5</v>
      </c>
      <c r="E27" s="92"/>
      <c r="F27" s="93"/>
      <c r="G27" s="93"/>
      <c r="H27" s="90"/>
      <c r="I27" s="93"/>
      <c r="J27" s="92"/>
      <c r="K27" s="93"/>
      <c r="L27" s="93"/>
      <c r="M27" s="93"/>
      <c r="N27" s="93"/>
      <c r="O27" s="93"/>
      <c r="P27" s="93"/>
      <c r="Q27" s="93"/>
    </row>
    <row r="28" spans="1:17" ht="14.4">
      <c r="A28" s="90" t="s">
        <v>90</v>
      </c>
      <c r="B28" s="90"/>
      <c r="C28" s="90"/>
      <c r="D28" s="94">
        <v>24</v>
      </c>
      <c r="E28" s="92"/>
      <c r="F28" s="93"/>
      <c r="G28" s="93"/>
      <c r="H28" s="93"/>
      <c r="I28" s="93"/>
      <c r="J28" s="92"/>
      <c r="K28" s="93"/>
      <c r="L28" s="93"/>
      <c r="M28" s="93"/>
      <c r="N28" s="93"/>
      <c r="O28" s="93"/>
      <c r="P28" s="93"/>
      <c r="Q28" s="93"/>
    </row>
    <row r="29" spans="1:17" ht="14.4">
      <c r="A29" s="92"/>
      <c r="B29" s="90"/>
      <c r="C29" s="93"/>
      <c r="D29" s="92"/>
      <c r="E29" s="92"/>
      <c r="F29" s="93"/>
      <c r="G29" s="92"/>
      <c r="H29" s="92"/>
      <c r="I29" s="93"/>
      <c r="J29" s="92"/>
      <c r="K29" s="92"/>
      <c r="L29" s="93"/>
      <c r="M29" s="92"/>
      <c r="N29" s="92"/>
      <c r="O29" s="93"/>
      <c r="P29" s="92"/>
      <c r="Q29" s="92"/>
    </row>
    <row r="30" spans="1:17" ht="14.4">
      <c r="A30" s="90" t="s">
        <v>91</v>
      </c>
      <c r="B30" s="92"/>
      <c r="C30" s="93"/>
      <c r="D30" s="95">
        <v>18.3</v>
      </c>
      <c r="E30" s="92"/>
      <c r="F30" s="93"/>
      <c r="G30" s="93"/>
      <c r="H30" s="93"/>
      <c r="I30" s="93"/>
      <c r="J30" s="92"/>
      <c r="K30" s="93"/>
      <c r="L30" s="93"/>
      <c r="M30" s="93"/>
      <c r="N30" s="93"/>
      <c r="O30" s="93"/>
      <c r="P30" s="93"/>
      <c r="Q30" s="93"/>
    </row>
    <row r="31" spans="1:17" ht="14.4">
      <c r="A31" s="90" t="s">
        <v>92</v>
      </c>
      <c r="B31" s="92"/>
      <c r="C31" s="93"/>
      <c r="D31" s="96">
        <v>7.23</v>
      </c>
      <c r="E31" s="92"/>
      <c r="F31" s="93"/>
      <c r="G31" s="93"/>
      <c r="H31" s="93"/>
      <c r="I31" s="93"/>
      <c r="J31" s="92"/>
      <c r="K31" s="93"/>
      <c r="L31" s="93"/>
      <c r="M31" s="93"/>
      <c r="N31" s="93"/>
      <c r="O31" s="93"/>
      <c r="P31" s="93"/>
      <c r="Q31" s="93"/>
    </row>
    <row r="32" spans="1:17" ht="14.4">
      <c r="A32" s="92"/>
      <c r="B32" s="90"/>
      <c r="C32" s="93"/>
      <c r="D32" s="92"/>
      <c r="E32" s="92"/>
      <c r="F32" s="93"/>
      <c r="G32" s="92"/>
      <c r="H32" s="92"/>
      <c r="I32" s="93"/>
      <c r="J32" s="92"/>
      <c r="K32" s="92"/>
      <c r="L32" s="93"/>
      <c r="M32" s="92"/>
      <c r="N32" s="92"/>
      <c r="O32" s="93"/>
      <c r="P32" s="92"/>
      <c r="Q32" s="92"/>
    </row>
    <row r="33" spans="1:18" ht="14.4">
      <c r="A33" s="97" t="s">
        <v>93</v>
      </c>
      <c r="B33" s="97"/>
      <c r="C33" s="98" t="s">
        <v>74</v>
      </c>
      <c r="D33" s="99">
        <v>132.22999999999999</v>
      </c>
      <c r="E33" s="100" t="s">
        <v>74</v>
      </c>
      <c r="F33" s="98" t="s">
        <v>74</v>
      </c>
      <c r="G33" s="98" t="s">
        <v>74</v>
      </c>
      <c r="H33" s="98" t="s">
        <v>74</v>
      </c>
      <c r="I33" s="98" t="s">
        <v>74</v>
      </c>
      <c r="J33" s="100" t="s">
        <v>74</v>
      </c>
      <c r="K33" s="100" t="s">
        <v>74</v>
      </c>
      <c r="L33" s="98" t="s">
        <v>74</v>
      </c>
      <c r="M33" s="100" t="s">
        <v>74</v>
      </c>
      <c r="N33" s="100" t="s">
        <v>74</v>
      </c>
      <c r="O33" s="98" t="s">
        <v>74</v>
      </c>
      <c r="P33" s="100" t="s">
        <v>74</v>
      </c>
      <c r="Q33" s="100" t="s">
        <v>74</v>
      </c>
    </row>
    <row r="34" spans="1:18" ht="14.4">
      <c r="A34" s="97" t="s">
        <v>101</v>
      </c>
      <c r="B34" s="97"/>
      <c r="C34" s="98" t="e" vm="2">
        <v>#VALUE!</v>
      </c>
      <c r="D34" s="130" cm="1">
        <f t="array" ref="D34">_FV(C34,"Price")</f>
        <v>173.23</v>
      </c>
      <c r="E34" s="100" t="s">
        <v>74</v>
      </c>
      <c r="F34" s="98" t="s">
        <v>74</v>
      </c>
      <c r="G34" s="98" t="s">
        <v>74</v>
      </c>
      <c r="H34" s="98" t="s">
        <v>74</v>
      </c>
      <c r="I34" s="98" t="s">
        <v>74</v>
      </c>
      <c r="J34" s="100" t="s">
        <v>74</v>
      </c>
      <c r="K34" s="100" t="s">
        <v>74</v>
      </c>
      <c r="L34" s="98" t="s">
        <v>74</v>
      </c>
      <c r="M34" s="100" t="s">
        <v>74</v>
      </c>
      <c r="N34" s="100" t="s">
        <v>74</v>
      </c>
      <c r="O34" s="98" t="s">
        <v>74</v>
      </c>
      <c r="P34" s="100" t="s">
        <v>74</v>
      </c>
      <c r="Q34" s="100" t="s">
        <v>74</v>
      </c>
      <c r="R34" s="129"/>
    </row>
    <row r="35" spans="1:18" ht="14.4">
      <c r="A35" s="97" t="s">
        <v>95</v>
      </c>
      <c r="B35" s="97"/>
      <c r="C35" s="98" t="s">
        <v>74</v>
      </c>
      <c r="D35" s="131">
        <f>(D33-D34)/D34</f>
        <v>-0.23667955896784623</v>
      </c>
      <c r="E35" s="100" t="s">
        <v>74</v>
      </c>
      <c r="F35" s="98" t="s">
        <v>74</v>
      </c>
      <c r="G35" s="98" t="s">
        <v>74</v>
      </c>
      <c r="H35" s="98" t="s">
        <v>74</v>
      </c>
      <c r="I35" s="98" t="s">
        <v>74</v>
      </c>
      <c r="J35" s="100" t="s">
        <v>74</v>
      </c>
      <c r="K35" s="100" t="s">
        <v>74</v>
      </c>
      <c r="L35" s="98" t="s">
        <v>74</v>
      </c>
      <c r="M35" s="100" t="s">
        <v>74</v>
      </c>
      <c r="N35" s="100" t="s">
        <v>74</v>
      </c>
      <c r="O35" s="98" t="s">
        <v>74</v>
      </c>
      <c r="P35" s="100" t="s">
        <v>74</v>
      </c>
      <c r="Q35" s="100" t="s">
        <v>74</v>
      </c>
    </row>
  </sheetData>
  <mergeCells count="33">
    <mergeCell ref="A19:A24"/>
    <mergeCell ref="D16:E16"/>
    <mergeCell ref="G16:H16"/>
    <mergeCell ref="J16:K16"/>
    <mergeCell ref="M16:N16"/>
    <mergeCell ref="A13:A17"/>
    <mergeCell ref="D13:E13"/>
    <mergeCell ref="G13:H13"/>
    <mergeCell ref="J13:K13"/>
    <mergeCell ref="M13:N13"/>
    <mergeCell ref="D15:E15"/>
    <mergeCell ref="G15:H15"/>
    <mergeCell ref="J15:K15"/>
    <mergeCell ref="M15:N15"/>
    <mergeCell ref="P16:Q16"/>
    <mergeCell ref="D17:E17"/>
    <mergeCell ref="G17:H17"/>
    <mergeCell ref="J17:K17"/>
    <mergeCell ref="M17:N17"/>
    <mergeCell ref="P17:Q17"/>
    <mergeCell ref="P15:Q15"/>
    <mergeCell ref="P3:Q3"/>
    <mergeCell ref="P13:Q13"/>
    <mergeCell ref="D14:E14"/>
    <mergeCell ref="G14:H14"/>
    <mergeCell ref="J14:K14"/>
    <mergeCell ref="M14:N14"/>
    <mergeCell ref="P14:Q14"/>
    <mergeCell ref="A7:A11"/>
    <mergeCell ref="D3:E3"/>
    <mergeCell ref="G3:H3"/>
    <mergeCell ref="J3:K3"/>
    <mergeCell ref="M3:N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7DE16-D2C3-4F2C-9DE9-095A66F0438B}">
  <dimension ref="A1:G102"/>
  <sheetViews>
    <sheetView workbookViewId="0">
      <selection activeCell="G68" sqref="G68"/>
    </sheetView>
  </sheetViews>
  <sheetFormatPr defaultColWidth="8.88671875" defaultRowHeight="13.2"/>
  <cols>
    <col min="1" max="1" width="23.33203125" customWidth="1"/>
    <col min="2" max="2" width="14.44140625" customWidth="1"/>
    <col min="7" max="7" width="14.109375" customWidth="1"/>
    <col min="16381" max="16382" width="9.109375" bestFit="1" customWidth="1"/>
  </cols>
  <sheetData>
    <row r="1" spans="1:7">
      <c r="A1" s="1" t="s">
        <v>102</v>
      </c>
      <c r="B1" s="64">
        <v>0.5</v>
      </c>
    </row>
    <row r="2" spans="1:7">
      <c r="A2" s="1" t="s">
        <v>103</v>
      </c>
      <c r="B2" s="64">
        <f>1-B1</f>
        <v>0.5</v>
      </c>
    </row>
    <row r="4" spans="1:7" ht="17.25" customHeight="1">
      <c r="A4" s="159" t="s">
        <v>96</v>
      </c>
      <c r="B4" s="159"/>
      <c r="C4" s="159"/>
      <c r="D4" s="159" t="s">
        <v>76</v>
      </c>
      <c r="E4" s="159"/>
      <c r="F4" s="159"/>
      <c r="G4" s="65" t="s">
        <v>104</v>
      </c>
    </row>
    <row r="5" spans="1:7" ht="17.25" customHeight="1">
      <c r="A5" s="52" t="s">
        <v>64</v>
      </c>
      <c r="B5" s="52" t="s">
        <v>65</v>
      </c>
      <c r="C5" s="53" t="s">
        <v>66</v>
      </c>
      <c r="D5" s="52" t="s">
        <v>64</v>
      </c>
      <c r="E5" s="52" t="s">
        <v>65</v>
      </c>
      <c r="F5" s="53" t="s">
        <v>66</v>
      </c>
      <c r="G5" s="52"/>
    </row>
    <row r="6" spans="1:7" ht="17.25" customHeight="1">
      <c r="A6" s="54">
        <v>43466</v>
      </c>
      <c r="B6" s="52">
        <v>39.937733000000001</v>
      </c>
      <c r="C6" s="55"/>
      <c r="D6" s="54">
        <v>43466</v>
      </c>
      <c r="E6" s="52">
        <v>99.166435000000007</v>
      </c>
      <c r="F6" s="55"/>
      <c r="G6" s="52"/>
    </row>
    <row r="7" spans="1:7" ht="17.25" customHeight="1">
      <c r="A7" s="54">
        <v>43497</v>
      </c>
      <c r="B7" s="52">
        <v>41.547812999999998</v>
      </c>
      <c r="C7" s="56">
        <f t="shared" ref="C7:C38" si="0">LN(B7/B6)</f>
        <v>3.9523318300564506E-2</v>
      </c>
      <c r="D7" s="54">
        <v>43497</v>
      </c>
      <c r="E7" s="52">
        <v>106.383377</v>
      </c>
      <c r="F7" s="56">
        <f t="shared" ref="F7:F38" si="1">LN(E7/E6)</f>
        <v>7.0249733318778471E-2</v>
      </c>
      <c r="G7" s="56">
        <f t="shared" ref="G7:G38" si="2">C7*$B$1+F7*$B$2</f>
        <v>5.4886525809671488E-2</v>
      </c>
    </row>
    <row r="8" spans="1:7" ht="17.25" customHeight="1">
      <c r="A8" s="54">
        <v>43525</v>
      </c>
      <c r="B8" s="52">
        <v>45.77449</v>
      </c>
      <c r="C8" s="56">
        <f t="shared" si="0"/>
        <v>9.688206450864438E-2</v>
      </c>
      <c r="D8" s="54">
        <v>43525</v>
      </c>
      <c r="E8" s="52">
        <v>112.47380099999999</v>
      </c>
      <c r="F8" s="56">
        <f t="shared" si="1"/>
        <v>5.5670981024546012E-2</v>
      </c>
      <c r="G8" s="56">
        <f t="shared" si="2"/>
        <v>7.6276522766595189E-2</v>
      </c>
    </row>
    <row r="9" spans="1:7" ht="17.25" customHeight="1">
      <c r="A9" s="54">
        <v>43556</v>
      </c>
      <c r="B9" s="52">
        <v>48.357821999999999</v>
      </c>
      <c r="C9" s="56">
        <f t="shared" si="0"/>
        <v>5.4901038465792154E-2</v>
      </c>
      <c r="D9" s="54">
        <v>43556</v>
      </c>
      <c r="E9" s="52">
        <v>124.54703499999999</v>
      </c>
      <c r="F9" s="56">
        <f t="shared" si="1"/>
        <v>0.10196312120059045</v>
      </c>
      <c r="G9" s="56">
        <f t="shared" si="2"/>
        <v>7.8432079833191309E-2</v>
      </c>
    </row>
    <row r="10" spans="1:7" ht="17.25" customHeight="1">
      <c r="A10" s="54">
        <v>43586</v>
      </c>
      <c r="B10" s="52">
        <v>42.188685999999997</v>
      </c>
      <c r="C10" s="56">
        <f t="shared" si="0"/>
        <v>-0.13647590668135262</v>
      </c>
      <c r="D10" s="54">
        <v>43586</v>
      </c>
      <c r="E10" s="52">
        <v>117.947754</v>
      </c>
      <c r="F10" s="56">
        <f t="shared" si="1"/>
        <v>-5.444167201885898E-2</v>
      </c>
      <c r="G10" s="56">
        <f t="shared" si="2"/>
        <v>-9.5458789350105794E-2</v>
      </c>
    </row>
    <row r="11" spans="1:7" ht="17.25" hidden="1" customHeight="1">
      <c r="A11" s="54">
        <v>43617</v>
      </c>
      <c r="B11" s="52">
        <v>47.878788</v>
      </c>
      <c r="C11" s="56">
        <f t="shared" si="0"/>
        <v>0.12652048625598825</v>
      </c>
      <c r="D11" s="54">
        <v>43617</v>
      </c>
      <c r="E11" s="52">
        <v>128.224197</v>
      </c>
      <c r="F11" s="56">
        <f t="shared" si="1"/>
        <v>8.3538507120951344E-2</v>
      </c>
      <c r="G11" s="56">
        <f t="shared" si="2"/>
        <v>0.1050294966884698</v>
      </c>
    </row>
    <row r="12" spans="1:7" ht="17.25" hidden="1" customHeight="1">
      <c r="A12" s="54">
        <v>43647</v>
      </c>
      <c r="B12" s="52">
        <v>51.536468999999997</v>
      </c>
      <c r="C12" s="56">
        <f t="shared" si="0"/>
        <v>7.3617125895904065E-2</v>
      </c>
      <c r="D12" s="54">
        <v>43647</v>
      </c>
      <c r="E12" s="52">
        <v>130.435303</v>
      </c>
      <c r="F12" s="56">
        <f t="shared" si="1"/>
        <v>1.7097070553405511E-2</v>
      </c>
      <c r="G12" s="56">
        <f t="shared" si="2"/>
        <v>4.5357098224654786E-2</v>
      </c>
    </row>
    <row r="13" spans="1:7" ht="17.25" hidden="1" customHeight="1">
      <c r="A13" s="54">
        <v>43678</v>
      </c>
      <c r="B13" s="52">
        <v>50.496262000000002</v>
      </c>
      <c r="C13" s="56">
        <f t="shared" si="0"/>
        <v>-2.0390379242348589E-2</v>
      </c>
      <c r="D13" s="54">
        <v>43678</v>
      </c>
      <c r="E13" s="52">
        <v>131.957199</v>
      </c>
      <c r="F13" s="56">
        <f t="shared" si="1"/>
        <v>1.1600278626168137E-2</v>
      </c>
      <c r="G13" s="56">
        <f t="shared" si="2"/>
        <v>-4.3950503080902262E-3</v>
      </c>
    </row>
    <row r="14" spans="1:7" ht="17.25" hidden="1" customHeight="1">
      <c r="A14" s="54">
        <v>43709</v>
      </c>
      <c r="B14" s="52">
        <v>54.386401999999997</v>
      </c>
      <c r="C14" s="56">
        <f t="shared" si="0"/>
        <v>7.4214845640853067E-2</v>
      </c>
      <c r="D14" s="54">
        <v>43709</v>
      </c>
      <c r="E14" s="52">
        <v>133.52024800000001</v>
      </c>
      <c r="F14" s="56">
        <f t="shared" si="1"/>
        <v>1.1775516745522107E-2</v>
      </c>
      <c r="G14" s="56">
        <f t="shared" si="2"/>
        <v>4.2995181193187584E-2</v>
      </c>
    </row>
    <row r="15" spans="1:7" ht="17.25" hidden="1" customHeight="1">
      <c r="A15" s="54">
        <v>43739</v>
      </c>
      <c r="B15" s="52">
        <v>60.406135999999996</v>
      </c>
      <c r="C15" s="56">
        <f t="shared" si="0"/>
        <v>0.1049765298043024</v>
      </c>
      <c r="D15" s="54">
        <v>43739</v>
      </c>
      <c r="E15" s="52">
        <v>137.68826300000001</v>
      </c>
      <c r="F15" s="56">
        <f t="shared" si="1"/>
        <v>3.0739029329983843E-2</v>
      </c>
      <c r="G15" s="56">
        <f t="shared" si="2"/>
        <v>6.7857779567143117E-2</v>
      </c>
    </row>
    <row r="16" spans="1:7" ht="17.25" hidden="1" customHeight="1">
      <c r="A16" s="54">
        <v>43770</v>
      </c>
      <c r="B16" s="52">
        <v>64.896034</v>
      </c>
      <c r="C16" s="56">
        <f t="shared" si="0"/>
        <v>7.1695823258824815E-2</v>
      </c>
      <c r="D16" s="54">
        <v>43770</v>
      </c>
      <c r="E16" s="52">
        <v>145.38082900000001</v>
      </c>
      <c r="F16" s="56">
        <f t="shared" si="1"/>
        <v>5.4364540256179622E-2</v>
      </c>
      <c r="G16" s="56">
        <f t="shared" si="2"/>
        <v>6.3030181757502218E-2</v>
      </c>
    </row>
    <row r="17" spans="1:7" ht="17.25" hidden="1" customHeight="1">
      <c r="A17" s="54">
        <v>43800</v>
      </c>
      <c r="B17" s="52">
        <v>71.520820999999998</v>
      </c>
      <c r="C17" s="56">
        <f t="shared" si="0"/>
        <v>9.7202097662146256E-2</v>
      </c>
      <c r="D17" s="54">
        <v>43800</v>
      </c>
      <c r="E17" s="52">
        <v>151.96571399999999</v>
      </c>
      <c r="F17" s="56">
        <f t="shared" si="1"/>
        <v>4.429822327535482E-2</v>
      </c>
      <c r="G17" s="56">
        <f t="shared" si="2"/>
        <v>7.0750160468750545E-2</v>
      </c>
    </row>
    <row r="18" spans="1:7" ht="17.25" hidden="1" customHeight="1">
      <c r="A18" s="54">
        <v>43831</v>
      </c>
      <c r="B18" s="52">
        <v>75.383651999999998</v>
      </c>
      <c r="C18" s="56">
        <f t="shared" si="0"/>
        <v>5.2601824423724818E-2</v>
      </c>
      <c r="D18" s="54">
        <v>43831</v>
      </c>
      <c r="E18" s="52">
        <v>164.04006999999999</v>
      </c>
      <c r="F18" s="56">
        <f t="shared" si="1"/>
        <v>7.6455797635942568E-2</v>
      </c>
      <c r="G18" s="56">
        <f t="shared" si="2"/>
        <v>6.4528811029833696E-2</v>
      </c>
    </row>
    <row r="19" spans="1:7" ht="17.25" hidden="1" customHeight="1">
      <c r="A19" s="54">
        <v>43862</v>
      </c>
      <c r="B19" s="52">
        <v>66.579018000000005</v>
      </c>
      <c r="C19" s="56">
        <f t="shared" si="0"/>
        <v>-0.12420095166540165</v>
      </c>
      <c r="D19" s="54">
        <v>43862</v>
      </c>
      <c r="E19" s="52">
        <v>156.11901900000001</v>
      </c>
      <c r="F19" s="56">
        <f t="shared" si="1"/>
        <v>-4.9492068584262687E-2</v>
      </c>
      <c r="G19" s="56">
        <f t="shared" si="2"/>
        <v>-8.6846510124832174E-2</v>
      </c>
    </row>
    <row r="20" spans="1:7" ht="17.25" hidden="1" customHeight="1">
      <c r="A20" s="54">
        <v>43891</v>
      </c>
      <c r="B20" s="52">
        <v>62.081347999999998</v>
      </c>
      <c r="C20" s="56">
        <f t="shared" si="0"/>
        <v>-6.9943893307437305E-2</v>
      </c>
      <c r="D20" s="54">
        <v>43891</v>
      </c>
      <c r="E20" s="52">
        <v>152.39044200000001</v>
      </c>
      <c r="F20" s="56">
        <f t="shared" si="1"/>
        <v>-2.4172733914345011E-2</v>
      </c>
      <c r="G20" s="56">
        <f t="shared" si="2"/>
        <v>-4.7058313610891161E-2</v>
      </c>
    </row>
    <row r="21" spans="1:7" ht="17.25" hidden="1" customHeight="1">
      <c r="A21" s="54">
        <v>43922</v>
      </c>
      <c r="B21" s="52">
        <v>71.727164999999999</v>
      </c>
      <c r="C21" s="56">
        <f t="shared" si="0"/>
        <v>0.14442395658848978</v>
      </c>
      <c r="D21" s="54">
        <v>43922</v>
      </c>
      <c r="E21" s="52">
        <v>173.165268</v>
      </c>
      <c r="F21" s="56">
        <f t="shared" si="1"/>
        <v>0.12780052009109191</v>
      </c>
      <c r="G21" s="56">
        <f t="shared" si="2"/>
        <v>0.13611223833979086</v>
      </c>
    </row>
    <row r="22" spans="1:7" ht="17.25" hidden="1" customHeight="1">
      <c r="A22" s="54">
        <v>43952</v>
      </c>
      <c r="B22" s="52">
        <v>77.620621</v>
      </c>
      <c r="C22" s="56">
        <f t="shared" si="0"/>
        <v>7.8963580278852294E-2</v>
      </c>
      <c r="D22" s="54">
        <v>43952</v>
      </c>
      <c r="E22" s="52">
        <v>177.06899999999999</v>
      </c>
      <c r="F22" s="56">
        <f t="shared" si="1"/>
        <v>2.2293042276691835E-2</v>
      </c>
      <c r="G22" s="56">
        <f t="shared" si="2"/>
        <v>5.0628311277772065E-2</v>
      </c>
    </row>
    <row r="23" spans="1:7" ht="17.25" hidden="1" customHeight="1">
      <c r="A23" s="54">
        <v>43983</v>
      </c>
      <c r="B23" s="52">
        <v>89.301918000000001</v>
      </c>
      <c r="C23" s="56">
        <f t="shared" si="0"/>
        <v>0.14018983939120738</v>
      </c>
      <c r="D23" s="54">
        <v>43983</v>
      </c>
      <c r="E23" s="52">
        <v>197.19326799999999</v>
      </c>
      <c r="F23" s="56">
        <f t="shared" si="1"/>
        <v>0.10764481653665572</v>
      </c>
      <c r="G23" s="56">
        <f t="shared" si="2"/>
        <v>0.12391732796393155</v>
      </c>
    </row>
    <row r="24" spans="1:7" ht="17.25" hidden="1" customHeight="1">
      <c r="A24" s="54">
        <v>44013</v>
      </c>
      <c r="B24" s="52">
        <v>104.04847700000001</v>
      </c>
      <c r="C24" s="56">
        <f t="shared" si="0"/>
        <v>0.15283394972356709</v>
      </c>
      <c r="D24" s="54">
        <v>44013</v>
      </c>
      <c r="E24" s="52">
        <v>198.64672899999999</v>
      </c>
      <c r="F24" s="56">
        <f t="shared" si="1"/>
        <v>7.3437123237624583E-3</v>
      </c>
      <c r="G24" s="56">
        <f t="shared" si="2"/>
        <v>8.0088831023664778E-2</v>
      </c>
    </row>
    <row r="25" spans="1:7" ht="17.25" hidden="1" customHeight="1">
      <c r="A25" s="54">
        <v>44044</v>
      </c>
      <c r="B25" s="52">
        <v>126.35437</v>
      </c>
      <c r="C25" s="56">
        <f t="shared" si="0"/>
        <v>0.19423350416340887</v>
      </c>
      <c r="D25" s="54">
        <v>44044</v>
      </c>
      <c r="E25" s="52">
        <v>218.52979999999999</v>
      </c>
      <c r="F25" s="56">
        <f t="shared" si="1"/>
        <v>9.539437369694137E-2</v>
      </c>
      <c r="G25" s="56">
        <f t="shared" si="2"/>
        <v>0.14481393893017513</v>
      </c>
    </row>
    <row r="26" spans="1:7" ht="17.25" hidden="1" customHeight="1">
      <c r="A26" s="54">
        <v>44075</v>
      </c>
      <c r="B26" s="52">
        <v>113.60417200000001</v>
      </c>
      <c r="C26" s="56">
        <f t="shared" si="0"/>
        <v>-0.10637018873746623</v>
      </c>
      <c r="D26" s="54">
        <v>44075</v>
      </c>
      <c r="E26" s="52">
        <v>204.29423499999999</v>
      </c>
      <c r="F26" s="56">
        <f t="shared" si="1"/>
        <v>-6.7361106556471734E-2</v>
      </c>
      <c r="G26" s="56">
        <f t="shared" si="2"/>
        <v>-8.6865647646968983E-2</v>
      </c>
    </row>
    <row r="27" spans="1:7" ht="17.25" hidden="1" customHeight="1">
      <c r="A27" s="54">
        <v>44105</v>
      </c>
      <c r="B27" s="52">
        <v>106.78655999999999</v>
      </c>
      <c r="C27" s="56">
        <f t="shared" si="0"/>
        <v>-6.188815505419578E-2</v>
      </c>
      <c r="D27" s="54">
        <v>44105</v>
      </c>
      <c r="E27" s="52">
        <v>196.65980500000001</v>
      </c>
      <c r="F27" s="56">
        <f t="shared" si="1"/>
        <v>-3.8085925326537602E-2</v>
      </c>
      <c r="G27" s="56">
        <f t="shared" si="2"/>
        <v>-4.9987040190366691E-2</v>
      </c>
    </row>
    <row r="28" spans="1:7" ht="17.25" hidden="1" customHeight="1">
      <c r="A28" s="54">
        <v>44136</v>
      </c>
      <c r="B28" s="52">
        <v>116.78246300000001</v>
      </c>
      <c r="C28" s="56">
        <f t="shared" si="0"/>
        <v>8.9480837662601592E-2</v>
      </c>
      <c r="D28" s="54">
        <v>44136</v>
      </c>
      <c r="E28" s="52">
        <v>207.92692600000001</v>
      </c>
      <c r="F28" s="56">
        <f t="shared" si="1"/>
        <v>5.5711342874760296E-2</v>
      </c>
      <c r="G28" s="56">
        <f t="shared" si="2"/>
        <v>7.2596090268680941E-2</v>
      </c>
    </row>
    <row r="29" spans="1:7" ht="17.25" hidden="1" customHeight="1">
      <c r="A29" s="54">
        <v>44166</v>
      </c>
      <c r="B29" s="52">
        <v>130.387238</v>
      </c>
      <c r="C29" s="56">
        <f t="shared" si="0"/>
        <v>0.11019586303178794</v>
      </c>
      <c r="D29" s="54">
        <v>44166</v>
      </c>
      <c r="E29" s="52">
        <v>216.60289</v>
      </c>
      <c r="F29" s="56">
        <f t="shared" si="1"/>
        <v>4.087897637757975E-2</v>
      </c>
      <c r="G29" s="56">
        <f t="shared" si="2"/>
        <v>7.5537419704683847E-2</v>
      </c>
    </row>
    <row r="30" spans="1:7" ht="17.25" hidden="1" customHeight="1">
      <c r="A30" s="54">
        <v>44197</v>
      </c>
      <c r="B30" s="52">
        <v>129.66992200000001</v>
      </c>
      <c r="C30" s="56">
        <f t="shared" si="0"/>
        <v>-5.5166165713392288E-3</v>
      </c>
      <c r="D30" s="54">
        <v>44197</v>
      </c>
      <c r="E30" s="52">
        <v>225.89340200000001</v>
      </c>
      <c r="F30" s="56">
        <f t="shared" si="1"/>
        <v>4.1997538388595775E-2</v>
      </c>
      <c r="G30" s="56">
        <f t="shared" si="2"/>
        <v>1.8240460908628273E-2</v>
      </c>
    </row>
    <row r="31" spans="1:7" ht="17.25" hidden="1" customHeight="1">
      <c r="A31" s="54">
        <v>44228</v>
      </c>
      <c r="B31" s="52">
        <v>119.155602</v>
      </c>
      <c r="C31" s="56">
        <f t="shared" si="0"/>
        <v>-8.4561941228217335E-2</v>
      </c>
      <c r="D31" s="54">
        <v>44228</v>
      </c>
      <c r="E31" s="52">
        <v>226.302414</v>
      </c>
      <c r="F31" s="56">
        <f t="shared" si="1"/>
        <v>1.8090044050334104E-3</v>
      </c>
      <c r="G31" s="56">
        <f t="shared" si="2"/>
        <v>-4.1376468411591961E-2</v>
      </c>
    </row>
    <row r="32" spans="1:7" ht="17.25" hidden="1" customHeight="1">
      <c r="A32" s="54">
        <v>44256</v>
      </c>
      <c r="B32" s="52">
        <v>120.209518</v>
      </c>
      <c r="C32" s="56">
        <f t="shared" si="0"/>
        <v>8.8059848529029698E-3</v>
      </c>
      <c r="D32" s="54">
        <v>44256</v>
      </c>
      <c r="E32" s="52">
        <v>230.13256799999999</v>
      </c>
      <c r="F32" s="56">
        <f t="shared" si="1"/>
        <v>1.6783305648783595E-2</v>
      </c>
      <c r="G32" s="56">
        <f t="shared" si="2"/>
        <v>1.2794645250843282E-2</v>
      </c>
    </row>
    <row r="33" spans="1:7" ht="17.25" hidden="1" customHeight="1">
      <c r="A33" s="54">
        <v>44287</v>
      </c>
      <c r="B33" s="52">
        <v>129.37162799999999</v>
      </c>
      <c r="C33" s="56">
        <f t="shared" si="0"/>
        <v>7.345289625350683E-2</v>
      </c>
      <c r="D33" s="54">
        <v>44287</v>
      </c>
      <c r="E33" s="52">
        <v>246.150192</v>
      </c>
      <c r="F33" s="56">
        <f t="shared" si="1"/>
        <v>6.7286360728857561E-2</v>
      </c>
      <c r="G33" s="56">
        <f t="shared" si="2"/>
        <v>7.0369628491182196E-2</v>
      </c>
    </row>
    <row r="34" spans="1:7" ht="17.25" hidden="1" customHeight="1">
      <c r="A34" s="54">
        <v>44317</v>
      </c>
      <c r="B34" s="52">
        <v>122.630432</v>
      </c>
      <c r="C34" s="56">
        <f t="shared" si="0"/>
        <v>-5.3513885351983009E-2</v>
      </c>
      <c r="D34" s="54">
        <v>44317</v>
      </c>
      <c r="E34" s="52">
        <v>243.709991</v>
      </c>
      <c r="F34" s="56">
        <f t="shared" si="1"/>
        <v>-9.9629292976758967E-3</v>
      </c>
      <c r="G34" s="56">
        <f t="shared" si="2"/>
        <v>-3.1738407324829451E-2</v>
      </c>
    </row>
    <row r="35" spans="1:7" ht="17.25" hidden="1" customHeight="1">
      <c r="A35" s="54">
        <v>44348</v>
      </c>
      <c r="B35" s="52">
        <v>135.013184</v>
      </c>
      <c r="C35" s="56">
        <f t="shared" si="0"/>
        <v>9.6197218369465043E-2</v>
      </c>
      <c r="D35" s="54">
        <v>44348</v>
      </c>
      <c r="E35" s="52">
        <v>265.03317299999998</v>
      </c>
      <c r="F35" s="56">
        <f t="shared" si="1"/>
        <v>8.3876042365376186E-2</v>
      </c>
      <c r="G35" s="56">
        <f t="shared" si="2"/>
        <v>9.0036630367420614E-2</v>
      </c>
    </row>
    <row r="36" spans="1:7" ht="17.25" hidden="1" customHeight="1">
      <c r="A36" s="54">
        <v>44378</v>
      </c>
      <c r="B36" s="52">
        <v>143.78668200000001</v>
      </c>
      <c r="C36" s="56">
        <f t="shared" si="0"/>
        <v>6.2958393325904416E-2</v>
      </c>
      <c r="D36" s="54">
        <v>44378</v>
      </c>
      <c r="E36" s="52">
        <v>278.739777</v>
      </c>
      <c r="F36" s="56">
        <f t="shared" si="1"/>
        <v>5.0423648378549485E-2</v>
      </c>
      <c r="G36" s="56">
        <f t="shared" si="2"/>
        <v>5.669102085222695E-2</v>
      </c>
    </row>
    <row r="37" spans="1:7" ht="17.25" hidden="1" customHeight="1">
      <c r="A37" s="54">
        <v>44409</v>
      </c>
      <c r="B37" s="52">
        <v>149.671829</v>
      </c>
      <c r="C37" s="56">
        <f t="shared" si="0"/>
        <v>4.0114264428963785E-2</v>
      </c>
      <c r="D37" s="54">
        <v>44409</v>
      </c>
      <c r="E37" s="52">
        <v>295.34225500000002</v>
      </c>
      <c r="F37" s="56">
        <f t="shared" si="1"/>
        <v>5.7856222621963403E-2</v>
      </c>
      <c r="G37" s="56">
        <f t="shared" si="2"/>
        <v>4.8985243525463594E-2</v>
      </c>
    </row>
    <row r="38" spans="1:7" ht="17.25" hidden="1" customHeight="1">
      <c r="A38" s="54">
        <v>44440</v>
      </c>
      <c r="B38" s="52">
        <v>139.69764699999999</v>
      </c>
      <c r="C38" s="56">
        <f t="shared" si="0"/>
        <v>-6.896466779863944E-2</v>
      </c>
      <c r="D38" s="54">
        <v>44440</v>
      </c>
      <c r="E38" s="52">
        <v>276.34252900000001</v>
      </c>
      <c r="F38" s="56">
        <f t="shared" si="1"/>
        <v>-6.649372692810078E-2</v>
      </c>
      <c r="G38" s="56">
        <f t="shared" si="2"/>
        <v>-6.7729197363370103E-2</v>
      </c>
    </row>
    <row r="39" spans="1:7" ht="17.25" hidden="1" customHeight="1">
      <c r="A39" s="54">
        <v>44470</v>
      </c>
      <c r="B39" s="52">
        <v>147.89192199999999</v>
      </c>
      <c r="C39" s="56">
        <f t="shared" ref="C39:C65" si="3">LN(B39/B38)</f>
        <v>5.7001327354450043E-2</v>
      </c>
      <c r="D39" s="54">
        <v>44470</v>
      </c>
      <c r="E39" s="52">
        <v>325.05926499999998</v>
      </c>
      <c r="F39" s="56">
        <f t="shared" ref="F39:F65" si="4">LN(E39/E38)</f>
        <v>0.16236637619524408</v>
      </c>
      <c r="G39" s="56">
        <f t="shared" ref="G39:G65" si="5">C39*$B$1+F39*$B$2</f>
        <v>0.10968385177484706</v>
      </c>
    </row>
    <row r="40" spans="1:7" ht="17.25" hidden="1" customHeight="1">
      <c r="A40" s="54">
        <v>44501</v>
      </c>
      <c r="B40" s="52">
        <v>163.19450399999999</v>
      </c>
      <c r="C40" s="56">
        <f t="shared" si="3"/>
        <v>9.8461015252340703E-2</v>
      </c>
      <c r="D40" s="54">
        <v>44501</v>
      </c>
      <c r="E40" s="52">
        <v>324.049622</v>
      </c>
      <c r="F40" s="56">
        <f t="shared" si="4"/>
        <v>-3.1108611650583215E-3</v>
      </c>
      <c r="G40" s="56">
        <f t="shared" si="5"/>
        <v>4.7675077043641191E-2</v>
      </c>
    </row>
    <row r="41" spans="1:7" ht="17.25" hidden="1" customHeight="1">
      <c r="A41" s="54">
        <v>44531</v>
      </c>
      <c r="B41" s="52">
        <v>175.56405599999999</v>
      </c>
      <c r="C41" s="56">
        <f t="shared" si="3"/>
        <v>7.306120227338167E-2</v>
      </c>
      <c r="D41" s="54">
        <v>44531</v>
      </c>
      <c r="E41" s="52">
        <v>330.26943999999997</v>
      </c>
      <c r="F41" s="56">
        <f t="shared" si="4"/>
        <v>1.9012147780190249E-2</v>
      </c>
      <c r="G41" s="56">
        <f t="shared" si="5"/>
        <v>4.6036675026785961E-2</v>
      </c>
    </row>
    <row r="42" spans="1:7" ht="17.25" hidden="1" customHeight="1">
      <c r="A42" s="54">
        <v>44562</v>
      </c>
      <c r="B42" s="52">
        <v>172.80555699999999</v>
      </c>
      <c r="C42" s="56">
        <f t="shared" si="3"/>
        <v>-1.5836953348040542E-2</v>
      </c>
      <c r="D42" s="54">
        <v>44562</v>
      </c>
      <c r="E42" s="52">
        <v>305.38531499999999</v>
      </c>
      <c r="F42" s="56">
        <f t="shared" si="4"/>
        <v>-7.8334499017516518E-2</v>
      </c>
      <c r="G42" s="56">
        <f t="shared" si="5"/>
        <v>-4.708572618277853E-2</v>
      </c>
    </row>
    <row r="43" spans="1:7" ht="17.25" hidden="1" customHeight="1">
      <c r="A43" s="54">
        <v>44593</v>
      </c>
      <c r="B43" s="52">
        <v>163.254684</v>
      </c>
      <c r="C43" s="56">
        <f t="shared" si="3"/>
        <v>-5.6855554482874195E-2</v>
      </c>
      <c r="D43" s="54">
        <v>44593</v>
      </c>
      <c r="E43" s="52">
        <v>293.41461199999998</v>
      </c>
      <c r="F43" s="56">
        <f t="shared" si="4"/>
        <v>-3.9987640362622937E-2</v>
      </c>
      <c r="G43" s="56">
        <f t="shared" si="5"/>
        <v>-4.8421597422748569E-2</v>
      </c>
    </row>
    <row r="44" spans="1:7" ht="17.25" hidden="1" customHeight="1">
      <c r="A44" s="54">
        <v>44621</v>
      </c>
      <c r="B44" s="52">
        <v>172.85745199999999</v>
      </c>
      <c r="C44" s="56">
        <f t="shared" si="3"/>
        <v>5.7155818028806038E-2</v>
      </c>
      <c r="D44" s="54">
        <v>44621</v>
      </c>
      <c r="E44" s="52">
        <v>303.389343</v>
      </c>
      <c r="F44" s="56">
        <f t="shared" si="4"/>
        <v>3.34302742638855E-2</v>
      </c>
      <c r="G44" s="56">
        <f t="shared" si="5"/>
        <v>4.5293046146345772E-2</v>
      </c>
    </row>
    <row r="45" spans="1:7" ht="17.25" hidden="1" customHeight="1">
      <c r="A45" s="54">
        <v>44652</v>
      </c>
      <c r="B45" s="52">
        <v>156.06764200000001</v>
      </c>
      <c r="C45" s="56">
        <f t="shared" si="3"/>
        <v>-0.10217776212841319</v>
      </c>
      <c r="D45" s="54">
        <v>44652</v>
      </c>
      <c r="E45" s="52">
        <v>273.09075899999999</v>
      </c>
      <c r="F45" s="56">
        <f t="shared" si="4"/>
        <v>-0.10521275056535632</v>
      </c>
      <c r="G45" s="56">
        <f t="shared" si="5"/>
        <v>-0.10369525634688476</v>
      </c>
    </row>
    <row r="46" spans="1:7" ht="17.25" hidden="1" customHeight="1">
      <c r="A46" s="54">
        <v>44682</v>
      </c>
      <c r="B46" s="52">
        <v>147.346069</v>
      </c>
      <c r="C46" s="56">
        <f t="shared" si="3"/>
        <v>-5.7505484984977227E-2</v>
      </c>
      <c r="D46" s="54">
        <v>44682</v>
      </c>
      <c r="E46" s="52">
        <v>267.53094499999997</v>
      </c>
      <c r="F46" s="56">
        <f t="shared" si="4"/>
        <v>-2.0568948596594003E-2</v>
      </c>
      <c r="G46" s="56">
        <f t="shared" si="5"/>
        <v>-3.9037216790785617E-2</v>
      </c>
    </row>
    <row r="47" spans="1:7" ht="17.25" hidden="1" customHeight="1">
      <c r="A47" s="54">
        <v>44713</v>
      </c>
      <c r="B47" s="52">
        <v>135.54660000000001</v>
      </c>
      <c r="C47" s="56">
        <f t="shared" si="3"/>
        <v>-8.3468538215349442E-2</v>
      </c>
      <c r="D47" s="54">
        <v>44713</v>
      </c>
      <c r="E47" s="52">
        <v>253.319626</v>
      </c>
      <c r="F47" s="56">
        <f t="shared" si="4"/>
        <v>-5.4583206634731783E-2</v>
      </c>
      <c r="G47" s="56">
        <f t="shared" si="5"/>
        <v>-6.9025872425040616E-2</v>
      </c>
    </row>
    <row r="48" spans="1:7" ht="17.25" hidden="1" customHeight="1">
      <c r="A48" s="54">
        <v>44743</v>
      </c>
      <c r="B48" s="52">
        <v>161.11525</v>
      </c>
      <c r="C48" s="56">
        <f t="shared" si="3"/>
        <v>0.17280445476871337</v>
      </c>
      <c r="D48" s="54">
        <v>44743</v>
      </c>
      <c r="E48" s="52">
        <v>276.90280200000001</v>
      </c>
      <c r="F48" s="56">
        <f t="shared" si="4"/>
        <v>8.9014514048670459E-2</v>
      </c>
      <c r="G48" s="56">
        <f t="shared" si="5"/>
        <v>0.13090948440869191</v>
      </c>
    </row>
    <row r="49" spans="1:7" ht="17.25" hidden="1" customHeight="1">
      <c r="A49" s="54">
        <v>44774</v>
      </c>
      <c r="B49" s="52">
        <v>155.870667</v>
      </c>
      <c r="C49" s="56">
        <f t="shared" si="3"/>
        <v>-3.3093341704764231E-2</v>
      </c>
      <c r="D49" s="54">
        <v>44774</v>
      </c>
      <c r="E49" s="52">
        <v>257.89617900000002</v>
      </c>
      <c r="F49" s="56">
        <f t="shared" si="4"/>
        <v>-7.110945234485723E-2</v>
      </c>
      <c r="G49" s="56">
        <f t="shared" si="5"/>
        <v>-5.2101397024810731E-2</v>
      </c>
    </row>
    <row r="50" spans="1:7" ht="17.25" hidden="1" customHeight="1">
      <c r="A50" s="54">
        <v>44805</v>
      </c>
      <c r="B50" s="52">
        <v>137.20422400000001</v>
      </c>
      <c r="C50" s="56">
        <f t="shared" si="3"/>
        <v>-0.12755610370895393</v>
      </c>
      <c r="D50" s="54">
        <v>44805</v>
      </c>
      <c r="E50" s="52">
        <v>230.204285</v>
      </c>
      <c r="F50" s="56">
        <f t="shared" si="4"/>
        <v>-0.11358998659443961</v>
      </c>
      <c r="G50" s="56">
        <f t="shared" si="5"/>
        <v>-0.12057304515169677</v>
      </c>
    </row>
    <row r="51" spans="1:7" ht="17.25" hidden="1" customHeight="1">
      <c r="A51" s="54">
        <v>44835</v>
      </c>
      <c r="B51" s="52">
        <v>152.23512299999999</v>
      </c>
      <c r="C51" s="56">
        <f t="shared" si="3"/>
        <v>0.10395568554005882</v>
      </c>
      <c r="D51" s="54">
        <v>44835</v>
      </c>
      <c r="E51" s="52">
        <v>229.443207</v>
      </c>
      <c r="F51" s="56">
        <f t="shared" si="4"/>
        <v>-3.31157553898758E-3</v>
      </c>
      <c r="G51" s="56">
        <f t="shared" si="5"/>
        <v>5.0322055000535625E-2</v>
      </c>
    </row>
    <row r="52" spans="1:7" ht="17.25" hidden="1" customHeight="1">
      <c r="A52" s="54">
        <v>44866</v>
      </c>
      <c r="B52" s="52">
        <v>146.963379</v>
      </c>
      <c r="C52" s="56">
        <f t="shared" si="3"/>
        <v>-3.5242754236335425E-2</v>
      </c>
      <c r="D52" s="54">
        <v>44866</v>
      </c>
      <c r="E52" s="52">
        <v>252.186859</v>
      </c>
      <c r="F52" s="56">
        <f t="shared" si="4"/>
        <v>9.4514781877402906E-2</v>
      </c>
      <c r="G52" s="56">
        <f t="shared" si="5"/>
        <v>2.9636013820533741E-2</v>
      </c>
    </row>
    <row r="53" spans="1:7" ht="17.25" hidden="1" customHeight="1">
      <c r="A53" s="54">
        <v>44896</v>
      </c>
      <c r="B53" s="52">
        <v>129.20777899999999</v>
      </c>
      <c r="C53" s="56">
        <f t="shared" si="3"/>
        <v>-0.128761634779263</v>
      </c>
      <c r="D53" s="54">
        <v>44896</v>
      </c>
      <c r="E53" s="52">
        <v>237.71225000000001</v>
      </c>
      <c r="F53" s="56">
        <f t="shared" si="4"/>
        <v>-5.910940811418533E-2</v>
      </c>
      <c r="G53" s="56">
        <f t="shared" si="5"/>
        <v>-9.3935521446724166E-2</v>
      </c>
    </row>
    <row r="54" spans="1:7" ht="17.25" hidden="1" customHeight="1">
      <c r="A54" s="54">
        <v>44927</v>
      </c>
      <c r="B54" s="52">
        <v>143.48796100000001</v>
      </c>
      <c r="C54" s="56">
        <f t="shared" si="3"/>
        <v>0.10482933769552893</v>
      </c>
      <c r="D54" s="54">
        <v>44927</v>
      </c>
      <c r="E54" s="52">
        <v>245.631989</v>
      </c>
      <c r="F54" s="56">
        <f t="shared" si="4"/>
        <v>3.2773527575491325E-2</v>
      </c>
      <c r="G54" s="56">
        <f t="shared" si="5"/>
        <v>6.8801432635510126E-2</v>
      </c>
    </row>
    <row r="55" spans="1:7" ht="17.25" hidden="1" customHeight="1">
      <c r="A55" s="54">
        <v>44958</v>
      </c>
      <c r="B55" s="52">
        <v>146.590622</v>
      </c>
      <c r="C55" s="56">
        <f t="shared" si="3"/>
        <v>2.1392681210156108E-2</v>
      </c>
      <c r="D55" s="54">
        <v>44958</v>
      </c>
      <c r="E55" s="52">
        <v>247.227844</v>
      </c>
      <c r="F55" s="56">
        <f t="shared" si="4"/>
        <v>6.4759206181169747E-3</v>
      </c>
      <c r="G55" s="56">
        <f t="shared" si="5"/>
        <v>1.3934300914136541E-2</v>
      </c>
    </row>
    <row r="56" spans="1:7" ht="17.25" hidden="1" customHeight="1">
      <c r="A56" s="54">
        <v>44986</v>
      </c>
      <c r="B56" s="52">
        <v>164.23378</v>
      </c>
      <c r="C56" s="56">
        <f t="shared" si="3"/>
        <v>0.11364708316581537</v>
      </c>
      <c r="D56" s="54">
        <v>44986</v>
      </c>
      <c r="E56" s="52">
        <v>286.48187300000001</v>
      </c>
      <c r="F56" s="56">
        <f t="shared" si="4"/>
        <v>0.14736490686616585</v>
      </c>
      <c r="G56" s="56">
        <f t="shared" si="5"/>
        <v>0.13050599501599061</v>
      </c>
    </row>
    <row r="57" spans="1:7" ht="17.25" hidden="1" customHeight="1">
      <c r="A57" s="54">
        <v>45017</v>
      </c>
      <c r="B57" s="52">
        <v>168.99447599999999</v>
      </c>
      <c r="C57" s="56">
        <f t="shared" si="3"/>
        <v>2.8575127412486894E-2</v>
      </c>
      <c r="D57" s="54">
        <v>45017</v>
      </c>
      <c r="E57" s="52">
        <v>305.32232699999997</v>
      </c>
      <c r="F57" s="56">
        <f t="shared" si="4"/>
        <v>6.3692764766059173E-2</v>
      </c>
      <c r="G57" s="56">
        <f t="shared" si="5"/>
        <v>4.6133946089273035E-2</v>
      </c>
    </row>
    <row r="58" spans="1:7" ht="17.25" hidden="1" customHeight="1">
      <c r="A58" s="54">
        <v>45047</v>
      </c>
      <c r="B58" s="52">
        <v>176.53389000000001</v>
      </c>
      <c r="C58" s="56">
        <f t="shared" si="3"/>
        <v>4.3646841274650842E-2</v>
      </c>
      <c r="D58" s="54">
        <v>45047</v>
      </c>
      <c r="E58" s="52">
        <v>326.31909200000001</v>
      </c>
      <c r="F58" s="56">
        <f t="shared" si="4"/>
        <v>6.6507684047608082E-2</v>
      </c>
      <c r="G58" s="56">
        <f t="shared" si="5"/>
        <v>5.5077262661129459E-2</v>
      </c>
    </row>
    <row r="59" spans="1:7" ht="17.25" hidden="1" customHeight="1">
      <c r="A59" s="54">
        <v>45078</v>
      </c>
      <c r="B59" s="52">
        <v>193.453552</v>
      </c>
      <c r="C59" s="56">
        <f t="shared" si="3"/>
        <v>9.1524573038652746E-2</v>
      </c>
      <c r="D59" s="54">
        <v>45078</v>
      </c>
      <c r="E59" s="52">
        <v>339.13220200000001</v>
      </c>
      <c r="F59" s="56">
        <f t="shared" si="4"/>
        <v>3.8514295299906652E-2</v>
      </c>
      <c r="G59" s="56">
        <f t="shared" si="5"/>
        <v>6.5019434169279702E-2</v>
      </c>
    </row>
    <row r="60" spans="1:7" ht="17.25" hidden="1" customHeight="1">
      <c r="A60" s="54">
        <v>45108</v>
      </c>
      <c r="B60" s="52">
        <v>195.92695599999999</v>
      </c>
      <c r="C60" s="56">
        <f t="shared" si="3"/>
        <v>1.2704473989481558E-2</v>
      </c>
      <c r="D60" s="54">
        <v>45108</v>
      </c>
      <c r="E60" s="52">
        <v>334.53131100000002</v>
      </c>
      <c r="F60" s="56">
        <f t="shared" si="4"/>
        <v>-1.365952719185828E-2</v>
      </c>
      <c r="G60" s="56">
        <f t="shared" si="5"/>
        <v>-4.7752660118836106E-4</v>
      </c>
    </row>
    <row r="61" spans="1:7" ht="17.25" hidden="1" customHeight="1">
      <c r="A61" s="54">
        <v>45139</v>
      </c>
      <c r="B61" s="52">
        <v>187.36978099999999</v>
      </c>
      <c r="C61" s="56">
        <f t="shared" si="3"/>
        <v>-4.4657813501751374E-2</v>
      </c>
      <c r="D61" s="54">
        <v>45139</v>
      </c>
      <c r="E61" s="52">
        <v>326.40505999999999</v>
      </c>
      <c r="F61" s="56">
        <f t="shared" si="4"/>
        <v>-2.4591355147968279E-2</v>
      </c>
      <c r="G61" s="56">
        <f t="shared" si="5"/>
        <v>-3.4624584324859826E-2</v>
      </c>
    </row>
    <row r="62" spans="1:7" ht="17.25" hidden="1" customHeight="1">
      <c r="A62" s="54">
        <v>45170</v>
      </c>
      <c r="B62" s="52">
        <v>170.98474100000001</v>
      </c>
      <c r="C62" s="56">
        <f t="shared" si="3"/>
        <v>-9.1509784196414479E-2</v>
      </c>
      <c r="D62" s="54">
        <v>45170</v>
      </c>
      <c r="E62" s="52">
        <v>315.11044299999998</v>
      </c>
      <c r="F62" s="56">
        <f t="shared" si="4"/>
        <v>-3.5215935346994E-2</v>
      </c>
      <c r="G62" s="56">
        <f t="shared" si="5"/>
        <v>-6.3362859771704236E-2</v>
      </c>
    </row>
    <row r="63" spans="1:7" ht="17.25" hidden="1" customHeight="1">
      <c r="A63" s="54">
        <v>45200</v>
      </c>
      <c r="B63" s="52">
        <v>170.54531900000001</v>
      </c>
      <c r="C63" s="56">
        <f t="shared" si="3"/>
        <v>-2.5732566115840958E-3</v>
      </c>
      <c r="D63" s="54">
        <v>45200</v>
      </c>
      <c r="E63" s="52">
        <v>337.42514</v>
      </c>
      <c r="F63" s="56">
        <f t="shared" si="4"/>
        <v>6.8420488228499443E-2</v>
      </c>
      <c r="G63" s="56">
        <f t="shared" si="5"/>
        <v>3.2923615808457672E-2</v>
      </c>
    </row>
    <row r="64" spans="1:7" ht="17.25" customHeight="1">
      <c r="A64" s="54">
        <v>45231</v>
      </c>
      <c r="B64" s="52">
        <v>189.700073</v>
      </c>
      <c r="C64" s="56">
        <f t="shared" si="3"/>
        <v>0.10644319976766417</v>
      </c>
      <c r="D64" s="54">
        <v>45231</v>
      </c>
      <c r="E64" s="52">
        <v>378.142517</v>
      </c>
      <c r="F64" s="56">
        <f t="shared" si="4"/>
        <v>0.11392747536022954</v>
      </c>
      <c r="G64" s="56">
        <f t="shared" si="5"/>
        <v>0.11018533756394686</v>
      </c>
    </row>
    <row r="65" spans="1:7" ht="17.25" customHeight="1">
      <c r="A65" s="54">
        <v>45261</v>
      </c>
      <c r="B65" s="52">
        <v>192.320007</v>
      </c>
      <c r="C65" s="56">
        <f t="shared" si="3"/>
        <v>1.3716425985484308E-2</v>
      </c>
      <c r="D65" s="54">
        <v>45261</v>
      </c>
      <c r="E65" s="52">
        <v>368.79998799999998</v>
      </c>
      <c r="F65" s="56">
        <f t="shared" si="4"/>
        <v>-2.5016694518028192E-2</v>
      </c>
      <c r="G65" s="56">
        <f t="shared" si="5"/>
        <v>-5.6501342662719422E-3</v>
      </c>
    </row>
    <row r="66" spans="1:7" ht="17.25" customHeight="1"/>
    <row r="67" spans="1:7" ht="17.25" customHeight="1"/>
    <row r="68" spans="1:7" ht="17.25" customHeight="1">
      <c r="A68" s="57" t="s">
        <v>105</v>
      </c>
      <c r="B68" s="65" t="s">
        <v>96</v>
      </c>
      <c r="C68" s="65" t="s">
        <v>76</v>
      </c>
    </row>
    <row r="69" spans="1:7" ht="13.8">
      <c r="A69" s="58" t="s">
        <v>106</v>
      </c>
      <c r="B69" s="56">
        <f>AVERAGE(C6:C65)</f>
        <v>2.6641341042507996E-2</v>
      </c>
      <c r="C69" s="56">
        <f>AVERAGE(F6:F65)</f>
        <v>2.2261946762103132E-2</v>
      </c>
    </row>
    <row r="70" spans="1:7" ht="13.8">
      <c r="A70" s="58" t="s">
        <v>107</v>
      </c>
      <c r="B70" s="52">
        <f>_xlfn.VAR.S(C7:C65)</f>
        <v>7.3120730783643156E-3</v>
      </c>
      <c r="C70" s="52">
        <f>_xlfn.VAR.S(F7:F65)</f>
        <v>3.9360481741346634E-3</v>
      </c>
    </row>
    <row r="71" spans="1:7" ht="13.8">
      <c r="A71" s="58" t="s">
        <v>108</v>
      </c>
      <c r="B71" s="52">
        <f>STDEV(C7:C65)</f>
        <v>8.551066061237228E-2</v>
      </c>
      <c r="C71" s="52">
        <f>STDEV(F7:F65)</f>
        <v>6.2737932498088136E-2</v>
      </c>
    </row>
    <row r="72" spans="1:7" ht="13.8">
      <c r="A72" s="58" t="s">
        <v>109</v>
      </c>
      <c r="B72" s="161">
        <f>_xlfn.COVARIANCE.S(C7:C65,F7:F65)</f>
        <v>4.0009962022488424E-3</v>
      </c>
      <c r="C72" s="161"/>
    </row>
    <row r="73" spans="1:7" ht="13.8">
      <c r="A73" s="58"/>
      <c r="B73" s="162"/>
      <c r="C73" s="163"/>
    </row>
    <row r="74" spans="1:7" ht="13.8">
      <c r="A74" s="57" t="s">
        <v>110</v>
      </c>
      <c r="B74" s="160">
        <f>B69*B1+C69*B2</f>
        <v>2.4451643902305566E-2</v>
      </c>
      <c r="C74" s="161"/>
    </row>
    <row r="75" spans="1:7" ht="13.8">
      <c r="A75" s="57" t="s">
        <v>111</v>
      </c>
      <c r="B75" s="161">
        <f>B1^2*B70+B2^2*C70+2*B1*B2*B72</f>
        <v>4.8125284142491662E-3</v>
      </c>
      <c r="C75" s="161"/>
    </row>
    <row r="76" spans="1:7" ht="13.8">
      <c r="A76" s="57" t="s">
        <v>112</v>
      </c>
      <c r="B76" s="161">
        <f>SQRT(B75)</f>
        <v>6.9372389422948127E-2</v>
      </c>
      <c r="C76" s="161"/>
    </row>
    <row r="80" spans="1:7" ht="41.4">
      <c r="A80" s="28"/>
      <c r="B80" s="62" t="s">
        <v>113</v>
      </c>
      <c r="C80" s="62" t="s">
        <v>110</v>
      </c>
    </row>
    <row r="81" spans="1:3" ht="13.8">
      <c r="A81" s="28" t="s">
        <v>114</v>
      </c>
      <c r="B81" s="30">
        <v>6.9400000000000003E-2</v>
      </c>
      <c r="C81" s="30">
        <v>2.4500000000000001E-2</v>
      </c>
    </row>
    <row r="82" spans="1:3" ht="13.8">
      <c r="A82" s="29">
        <v>-0.5</v>
      </c>
      <c r="B82" s="30">
        <v>6.8400000000000002E-2</v>
      </c>
      <c r="C82" s="30">
        <v>2.0199999999999999E-2</v>
      </c>
    </row>
    <row r="83" spans="1:3" ht="13.8">
      <c r="A83" s="29">
        <v>-0.4</v>
      </c>
      <c r="B83" s="30">
        <v>6.6400000000000001E-2</v>
      </c>
      <c r="C83" s="30">
        <v>2.06E-2</v>
      </c>
    </row>
    <row r="84" spans="1:3" ht="13.8">
      <c r="A84" s="29">
        <v>-0.3</v>
      </c>
      <c r="B84" s="30">
        <v>6.4699999999999994E-2</v>
      </c>
      <c r="C84" s="30">
        <v>2.1000000000000001E-2</v>
      </c>
    </row>
    <row r="85" spans="1:3" ht="13.8">
      <c r="A85" s="29">
        <v>-0.2</v>
      </c>
      <c r="B85" s="30">
        <v>6.3600000000000004E-2</v>
      </c>
      <c r="C85" s="30">
        <v>2.1399999999999999E-2</v>
      </c>
    </row>
    <row r="86" spans="1:3" ht="13.8">
      <c r="A86" s="29">
        <v>-0.1</v>
      </c>
      <c r="B86" s="30">
        <v>6.2899999999999998E-2</v>
      </c>
      <c r="C86" s="30">
        <v>2.1899999999999999E-2</v>
      </c>
    </row>
    <row r="87" spans="1:3" ht="13.8">
      <c r="A87" s="29">
        <v>0</v>
      </c>
      <c r="B87" s="30">
        <v>6.2700000000000006E-2</v>
      </c>
      <c r="C87" s="30">
        <v>2.23E-2</v>
      </c>
    </row>
    <row r="88" spans="1:3" ht="13.8">
      <c r="A88" s="29">
        <v>0.1</v>
      </c>
      <c r="B88" s="30">
        <v>6.3100000000000003E-2</v>
      </c>
      <c r="C88" s="30">
        <v>2.2700000000000001E-2</v>
      </c>
    </row>
    <row r="89" spans="1:3" ht="13.8">
      <c r="A89" s="29">
        <v>0.2</v>
      </c>
      <c r="B89" s="30">
        <v>6.4000000000000001E-2</v>
      </c>
      <c r="C89" s="30">
        <v>2.3199999999999998E-2</v>
      </c>
    </row>
    <row r="90" spans="1:3" ht="13.8">
      <c r="A90" s="29">
        <v>0.3</v>
      </c>
      <c r="B90" s="30">
        <v>6.5299999999999997E-2</v>
      </c>
      <c r="C90" s="30">
        <v>2.3599999999999999E-2</v>
      </c>
    </row>
    <row r="91" spans="1:3" ht="13.8">
      <c r="A91" s="29">
        <v>0.4</v>
      </c>
      <c r="B91" s="30">
        <v>6.7100000000000007E-2</v>
      </c>
      <c r="C91" s="30">
        <v>2.4E-2</v>
      </c>
    </row>
    <row r="92" spans="1:3" ht="13.8">
      <c r="A92" s="29">
        <v>0.5</v>
      </c>
      <c r="B92" s="30">
        <v>6.9400000000000003E-2</v>
      </c>
      <c r="C92" s="30">
        <v>2.4500000000000001E-2</v>
      </c>
    </row>
    <row r="93" spans="1:3" ht="13.8">
      <c r="A93" s="29">
        <v>0.6</v>
      </c>
      <c r="B93" s="30">
        <v>7.1999999999999995E-2</v>
      </c>
      <c r="C93" s="30">
        <v>2.4899999999999999E-2</v>
      </c>
    </row>
    <row r="94" spans="1:3" ht="13.8">
      <c r="A94" s="29">
        <v>0.7</v>
      </c>
      <c r="B94" s="30">
        <v>7.4999999999999997E-2</v>
      </c>
      <c r="C94" s="30">
        <v>2.53E-2</v>
      </c>
    </row>
    <row r="95" spans="1:3" ht="13.8">
      <c r="A95" s="29">
        <v>0.8</v>
      </c>
      <c r="B95" s="30">
        <v>7.8200000000000006E-2</v>
      </c>
      <c r="C95" s="30">
        <v>2.5700000000000001E-2</v>
      </c>
    </row>
    <row r="96" spans="1:3" ht="13.8">
      <c r="A96" s="29">
        <v>0.9</v>
      </c>
      <c r="B96" s="30">
        <v>8.1699999999999995E-2</v>
      </c>
      <c r="C96" s="30">
        <v>2.6200000000000001E-2</v>
      </c>
    </row>
    <row r="97" spans="1:3" ht="13.8">
      <c r="A97" s="29">
        <v>1</v>
      </c>
      <c r="B97" s="30">
        <v>8.5500000000000007E-2</v>
      </c>
      <c r="C97" s="30">
        <v>2.6599999999999999E-2</v>
      </c>
    </row>
    <row r="98" spans="1:3" ht="13.8">
      <c r="A98" s="29">
        <v>1.1000000000000001</v>
      </c>
      <c r="B98" s="30">
        <v>8.9499999999999996E-2</v>
      </c>
      <c r="C98" s="30">
        <v>2.7E-2</v>
      </c>
    </row>
    <row r="99" spans="1:3" ht="13.8">
      <c r="A99" s="29">
        <v>1.2</v>
      </c>
      <c r="B99" s="30">
        <v>9.3600000000000003E-2</v>
      </c>
      <c r="C99" s="30">
        <v>2.75E-2</v>
      </c>
    </row>
    <row r="100" spans="1:3" ht="13.8">
      <c r="A100" s="29">
        <v>1.3</v>
      </c>
      <c r="B100" s="30">
        <v>9.7900000000000001E-2</v>
      </c>
      <c r="C100" s="30">
        <v>2.7900000000000001E-2</v>
      </c>
    </row>
    <row r="101" spans="1:3" ht="13.8">
      <c r="A101" s="29">
        <v>1.4</v>
      </c>
      <c r="B101" s="30">
        <v>0.1024</v>
      </c>
      <c r="C101" s="30">
        <v>2.8299999999999999E-2</v>
      </c>
    </row>
    <row r="102" spans="1:3" ht="13.8">
      <c r="A102" s="29">
        <v>1.5</v>
      </c>
      <c r="B102" s="30">
        <v>0.1069</v>
      </c>
      <c r="C102" s="30">
        <v>2.8799999999999999E-2</v>
      </c>
    </row>
  </sheetData>
  <mergeCells count="7">
    <mergeCell ref="A4:C4"/>
    <mergeCell ref="D4:F4"/>
    <mergeCell ref="B74:C74"/>
    <mergeCell ref="B75:C75"/>
    <mergeCell ref="B76:C76"/>
    <mergeCell ref="B72:C72"/>
    <mergeCell ref="B73:C7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9FF35-12BA-4B43-87A8-885D92AE48B8}">
  <dimension ref="A1:O117"/>
  <sheetViews>
    <sheetView topLeftCell="A32" zoomScale="125" workbookViewId="0">
      <selection activeCell="G13" sqref="G13"/>
    </sheetView>
  </sheetViews>
  <sheetFormatPr defaultColWidth="12.44140625" defaultRowHeight="13.2"/>
  <cols>
    <col min="7" max="7" width="29.88671875" customWidth="1"/>
    <col min="8" max="8" width="13.6640625" customWidth="1"/>
    <col min="9" max="9" width="25.88671875" customWidth="1"/>
    <col min="10" max="10" width="21.44140625" customWidth="1"/>
    <col min="11" max="11" width="17.88671875" customWidth="1"/>
    <col min="12" max="12" width="13.6640625" customWidth="1"/>
    <col min="13" max="13" width="13.88671875" customWidth="1"/>
    <col min="14" max="14" width="9.109375"/>
    <col min="15" max="15" width="14.6640625" customWidth="1"/>
  </cols>
  <sheetData>
    <row r="1" spans="1:13">
      <c r="B1" s="164" t="s">
        <v>115</v>
      </c>
      <c r="C1" s="164"/>
      <c r="D1" s="164"/>
      <c r="E1" s="164"/>
      <c r="F1" s="164"/>
    </row>
    <row r="2" spans="1:13">
      <c r="A2" t="s">
        <v>64</v>
      </c>
      <c r="B2" t="s">
        <v>116</v>
      </c>
      <c r="C2" t="s">
        <v>117</v>
      </c>
      <c r="D2" t="s">
        <v>118</v>
      </c>
      <c r="E2" t="s">
        <v>119</v>
      </c>
      <c r="F2" t="s">
        <v>120</v>
      </c>
    </row>
    <row r="3" spans="1:13" ht="15.6">
      <c r="A3" s="13">
        <v>43466</v>
      </c>
      <c r="B3">
        <f>'AAPL DATA'!C2</f>
        <v>0</v>
      </c>
      <c r="C3">
        <f>'MSFT DATA'!C2</f>
        <v>0</v>
      </c>
      <c r="D3">
        <f>'AMZN DATA'!C2</f>
        <v>0</v>
      </c>
      <c r="E3">
        <f>'NVDA DATA'!C2</f>
        <v>0</v>
      </c>
      <c r="F3">
        <f>'GOOGL DATA'!C2</f>
        <v>0</v>
      </c>
      <c r="H3" s="15"/>
      <c r="I3" s="15" t="s">
        <v>116</v>
      </c>
      <c r="J3" s="15" t="s">
        <v>117</v>
      </c>
      <c r="K3" s="15" t="s">
        <v>118</v>
      </c>
      <c r="L3" s="15" t="s">
        <v>119</v>
      </c>
      <c r="M3" s="15" t="s">
        <v>120</v>
      </c>
    </row>
    <row r="4" spans="1:13" ht="15.6">
      <c r="A4" s="13">
        <v>43497</v>
      </c>
      <c r="B4">
        <f>'AAPL DATA'!C3</f>
        <v>3.9523318300564506E-2</v>
      </c>
      <c r="C4">
        <f>'MSFT DATA'!C3</f>
        <v>7.0249733318778471E-2</v>
      </c>
      <c r="D4">
        <f>'AMZN DATA'!C3</f>
        <v>-4.6993067514913667E-2</v>
      </c>
      <c r="E4">
        <f>'NVDA DATA'!C3</f>
        <v>7.0563674281098748E-2</v>
      </c>
      <c r="F4">
        <f>'GOOGL DATA'!C3</f>
        <v>5.8604893934771499E-4</v>
      </c>
      <c r="H4" s="15" t="s">
        <v>121</v>
      </c>
      <c r="I4" s="21">
        <f>AVERAGE(B4:B62)</f>
        <v>2.6641341042507996E-2</v>
      </c>
      <c r="J4" s="21">
        <f>AVERAGE(C4:C62)</f>
        <v>2.2261946762103132E-2</v>
      </c>
      <c r="K4" s="21">
        <f>AVERAGE(D4:D62)</f>
        <v>8.8103266252749068E-3</v>
      </c>
      <c r="L4" s="21">
        <f>AVERAGE(E4:E62)</f>
        <v>4.3157488088748752E-2</v>
      </c>
      <c r="M4" s="21">
        <f>AVERAGE(F4:F62)</f>
        <v>1.4187991722645456E-2</v>
      </c>
    </row>
    <row r="5" spans="1:13" ht="15.6">
      <c r="A5" s="13">
        <v>43525</v>
      </c>
      <c r="B5">
        <f>'AAPL DATA'!C4</f>
        <v>9.688206450864438E-2</v>
      </c>
      <c r="C5">
        <f>'MSFT DATA'!C4</f>
        <v>5.5670981024546012E-2</v>
      </c>
      <c r="D5">
        <f>'AMZN DATA'!C4</f>
        <v>8.2442011290889891E-2</v>
      </c>
      <c r="E5">
        <f>'NVDA DATA'!C4</f>
        <v>0.15290004240833791</v>
      </c>
      <c r="F5">
        <f>'GOOGL DATA'!C4</f>
        <v>4.3715535544750182E-2</v>
      </c>
      <c r="H5" s="15" t="s">
        <v>122</v>
      </c>
      <c r="I5" s="50">
        <f>_xlfn.VAR.S(B4:B62)</f>
        <v>7.3120730783643156E-3</v>
      </c>
      <c r="J5" s="50">
        <f>_xlfn.VAR.S(C4:C62)</f>
        <v>3.9360481741346634E-3</v>
      </c>
      <c r="K5" s="50">
        <f>_xlfn.VAR.S(D4:D62)</f>
        <v>8.6030950997327445E-3</v>
      </c>
      <c r="L5" s="50">
        <f>_xlfn.VAR.S(E4:E62)</f>
        <v>2.0287240937383721E-2</v>
      </c>
      <c r="M5" s="50">
        <f>_xlfn.VAR.S(F4:F62)</f>
        <v>6.0217401722240469E-3</v>
      </c>
    </row>
    <row r="6" spans="1:13" ht="15.6">
      <c r="A6" s="13">
        <v>43556</v>
      </c>
      <c r="B6">
        <f>'AAPL DATA'!C5</f>
        <v>5.4901038465792154E-2</v>
      </c>
      <c r="C6">
        <f>'MSFT DATA'!C5</f>
        <v>0.10196312120059045</v>
      </c>
      <c r="D6">
        <f>'AMZN DATA'!C5</f>
        <v>7.8680623611546902E-2</v>
      </c>
      <c r="E6">
        <f>'NVDA DATA'!C5</f>
        <v>7.9875094748890069E-3</v>
      </c>
      <c r="F6">
        <f>'GOOGL DATA'!C5</f>
        <v>1.8579164756160178E-2</v>
      </c>
      <c r="H6" s="15" t="s">
        <v>123</v>
      </c>
      <c r="I6" s="50">
        <f>_xlfn.STDEV.S(B4:B62)</f>
        <v>8.551066061237228E-2</v>
      </c>
      <c r="J6" s="50">
        <f>_xlfn.STDEV.S(C4:C62)</f>
        <v>6.2737932498088136E-2</v>
      </c>
      <c r="K6" s="50">
        <f>_xlfn.STDEV.S(D4:D62)</f>
        <v>9.2752871113150698E-2</v>
      </c>
      <c r="L6" s="50">
        <f>_xlfn.STDEV.S(E4:E62)</f>
        <v>0.14243328591794729</v>
      </c>
      <c r="M6" s="50">
        <f>_xlfn.STDEV.S(F4:F62)</f>
        <v>7.7599872243606483E-2</v>
      </c>
    </row>
    <row r="7" spans="1:13">
      <c r="A7" s="13">
        <v>43586</v>
      </c>
      <c r="B7">
        <f>'AAPL DATA'!C6</f>
        <v>-0.13647590668135262</v>
      </c>
      <c r="C7">
        <f>'MSFT DATA'!C6</f>
        <v>-5.444167201885898E-2</v>
      </c>
      <c r="D7">
        <f>'AMZN DATA'!C6</f>
        <v>-8.1875343721610483E-2</v>
      </c>
      <c r="E7">
        <f>'NVDA DATA'!C6</f>
        <v>-0.28982053373777145</v>
      </c>
      <c r="F7">
        <f>'GOOGL DATA'!C6</f>
        <v>-8.0252649132871917E-2</v>
      </c>
    </row>
    <row r="8" spans="1:13">
      <c r="A8" s="13">
        <v>43617</v>
      </c>
      <c r="B8">
        <f>'AAPL DATA'!C7</f>
        <v>0.12652048625598825</v>
      </c>
      <c r="C8">
        <f>'MSFT DATA'!C7</f>
        <v>8.3538507120951344E-2</v>
      </c>
      <c r="D8">
        <f>'AMZN DATA'!C7</f>
        <v>6.4655772312536386E-2</v>
      </c>
      <c r="E8">
        <f>'NVDA DATA'!C7</f>
        <v>0.19373210561288795</v>
      </c>
      <c r="F8">
        <f>'GOOGL DATA'!C7</f>
        <v>-2.1651638296601185E-2</v>
      </c>
    </row>
    <row r="9" spans="1:13" ht="15.6">
      <c r="A9" s="13">
        <v>43647</v>
      </c>
      <c r="B9">
        <f>'AAPL DATA'!C8</f>
        <v>7.3617125895904065E-2</v>
      </c>
      <c r="C9">
        <f>'MSFT DATA'!C8</f>
        <v>1.7097070553405511E-2</v>
      </c>
      <c r="D9">
        <f>'AMZN DATA'!C8</f>
        <v>-1.4280664241588773E-2</v>
      </c>
      <c r="E9">
        <f>'NVDA DATA'!C8</f>
        <v>2.6972882742774134E-2</v>
      </c>
      <c r="F9">
        <f>'GOOGL DATA'!C8</f>
        <v>0.11782409913286995</v>
      </c>
      <c r="H9" s="15" t="s">
        <v>124</v>
      </c>
    </row>
    <row r="10" spans="1:13" ht="15.6">
      <c r="A10" s="13">
        <v>43678</v>
      </c>
      <c r="B10">
        <f>'AAPL DATA'!C9</f>
        <v>-2.0390379242348589E-2</v>
      </c>
      <c r="C10">
        <f>'MSFT DATA'!C9</f>
        <v>1.1600278626168137E-2</v>
      </c>
      <c r="D10">
        <f>'AMZN DATA'!C9</f>
        <v>-4.9688081106002029E-2</v>
      </c>
      <c r="E10">
        <f>'NVDA DATA'!C9</f>
        <v>-7.1975175934990802E-3</v>
      </c>
      <c r="F10">
        <f>'GOOGL DATA'!C9</f>
        <v>-2.2975756497718047E-2</v>
      </c>
      <c r="I10" s="15" t="s">
        <v>116</v>
      </c>
      <c r="J10" s="15" t="s">
        <v>117</v>
      </c>
      <c r="K10" s="15" t="s">
        <v>118</v>
      </c>
      <c r="L10" s="15" t="s">
        <v>119</v>
      </c>
      <c r="M10" s="15" t="s">
        <v>120</v>
      </c>
    </row>
    <row r="11" spans="1:13" ht="15.6">
      <c r="A11" s="13">
        <v>43709</v>
      </c>
      <c r="B11">
        <f>'AAPL DATA'!C10</f>
        <v>7.4214845640853067E-2</v>
      </c>
      <c r="C11">
        <f>'MSFT DATA'!C10</f>
        <v>1.1775516745522107E-2</v>
      </c>
      <c r="D11">
        <f>'AMZN DATA'!C10</f>
        <v>-2.299511364981853E-2</v>
      </c>
      <c r="E11">
        <f>'NVDA DATA'!C10</f>
        <v>3.9403690764044631E-2</v>
      </c>
      <c r="F11">
        <f>'GOOGL DATA'!C10</f>
        <v>2.5386229369591472E-2</v>
      </c>
      <c r="H11" s="15" t="s">
        <v>116</v>
      </c>
      <c r="I11">
        <f>CORREL($B$4:$B$62,$B$4:$B$62)</f>
        <v>1.0000000000000002</v>
      </c>
      <c r="J11">
        <f>CORREL($B$4:$B$62, $C$4:$C$62)</f>
        <v>0.74579192188748722</v>
      </c>
      <c r="K11">
        <f>CORREL($B$4:$B$62, $D$4:$D$62)</f>
        <v>0.72845952981792861</v>
      </c>
      <c r="L11">
        <f>CORREL($B$4:$B$62,$E$4:$E$62)</f>
        <v>0.64419834179689828</v>
      </c>
      <c r="M11">
        <f>CORREL($B$4:$B$62,$F$4:$F$62)</f>
        <v>0.59218700006862524</v>
      </c>
    </row>
    <row r="12" spans="1:13" ht="15.6">
      <c r="A12" s="13">
        <v>43739</v>
      </c>
      <c r="B12">
        <f>'AAPL DATA'!C11</f>
        <v>0.1049765298043024</v>
      </c>
      <c r="C12">
        <f>'MSFT DATA'!C11</f>
        <v>3.0739029329983843E-2</v>
      </c>
      <c r="D12">
        <f>'AMZN DATA'!C11</f>
        <v>2.3203402538443885E-2</v>
      </c>
      <c r="E12">
        <f>'NVDA DATA'!C11</f>
        <v>0.14394694899876559</v>
      </c>
      <c r="F12">
        <f>'GOOGL DATA'!C11</f>
        <v>3.0374038027846578E-2</v>
      </c>
      <c r="H12" s="15" t="str">
        <f>J10</f>
        <v>Microsoft</v>
      </c>
      <c r="I12">
        <f>$J$11</f>
        <v>0.74579192188748722</v>
      </c>
      <c r="J12">
        <v>1</v>
      </c>
      <c r="K12">
        <f>$J$13</f>
        <v>0.7053045986666846</v>
      </c>
      <c r="L12">
        <f>$J$14</f>
        <v>0.66772587430997177</v>
      </c>
      <c r="M12">
        <f>$J$15</f>
        <v>0.68927093649582505</v>
      </c>
    </row>
    <row r="13" spans="1:13" ht="15.6">
      <c r="A13" s="13">
        <v>43770</v>
      </c>
      <c r="B13">
        <f>'AAPL DATA'!C12</f>
        <v>7.1695823258824815E-2</v>
      </c>
      <c r="C13">
        <f>'MSFT DATA'!C12</f>
        <v>5.4364540256179622E-2</v>
      </c>
      <c r="D13">
        <f>'AMZN DATA'!C12</f>
        <v>1.3495824559172798E-2</v>
      </c>
      <c r="E13">
        <f>'NVDA DATA'!C12</f>
        <v>7.5293992240590496E-2</v>
      </c>
      <c r="F13">
        <f>'GOOGL DATA'!C12</f>
        <v>3.5346578535011365E-2</v>
      </c>
      <c r="H13" s="15" t="str">
        <f>K10</f>
        <v>Amazon</v>
      </c>
      <c r="I13">
        <f>$K$11</f>
        <v>0.72845952981792861</v>
      </c>
      <c r="J13">
        <f>CORREL($D$4:$D$62,$C$4:$C$62)</f>
        <v>0.7053045986666846</v>
      </c>
      <c r="K13">
        <v>1</v>
      </c>
      <c r="L13">
        <f>$K$14</f>
        <v>0.66449648825998664</v>
      </c>
      <c r="M13">
        <f>$K$15</f>
        <v>0.6549121890825127</v>
      </c>
    </row>
    <row r="14" spans="1:13" ht="15.6">
      <c r="A14" s="13">
        <v>43800</v>
      </c>
      <c r="B14">
        <f>'AAPL DATA'!C13</f>
        <v>9.7202097662146256E-2</v>
      </c>
      <c r="C14">
        <f>'MSFT DATA'!C13</f>
        <v>4.429822327535482E-2</v>
      </c>
      <c r="D14">
        <f>'AMZN DATA'!C13</f>
        <v>2.5786346021183883E-2</v>
      </c>
      <c r="E14">
        <f>'NVDA DATA'!C13</f>
        <v>8.2900683776854972E-2</v>
      </c>
      <c r="F14">
        <f>'GOOGL DATA'!C13</f>
        <v>2.6708807717056186E-2</v>
      </c>
      <c r="H14" s="15" t="str">
        <f>L10</f>
        <v>NVDA</v>
      </c>
      <c r="I14">
        <f>$L$11</f>
        <v>0.64419834179689828</v>
      </c>
      <c r="J14">
        <f>CORREL($E$4:$E$62,$C$4:$C$62)</f>
        <v>0.66772587430997177</v>
      </c>
      <c r="K14">
        <f>CORREL($E$4:$E$62,$D$4:$D$62)</f>
        <v>0.66449648825998664</v>
      </c>
      <c r="L14">
        <v>1</v>
      </c>
      <c r="M14">
        <f>$L$15</f>
        <v>0.61728539692491879</v>
      </c>
    </row>
    <row r="15" spans="1:13" ht="15.6">
      <c r="A15" s="13">
        <v>43831</v>
      </c>
      <c r="B15">
        <f>'AAPL DATA'!C14</f>
        <v>5.2601824423724818E-2</v>
      </c>
      <c r="C15">
        <f>'MSFT DATA'!C14</f>
        <v>7.6455797635942568E-2</v>
      </c>
      <c r="D15">
        <f>'AMZN DATA'!C14</f>
        <v>8.3480305689690906E-2</v>
      </c>
      <c r="E15">
        <f>'NVDA DATA'!C14</f>
        <v>4.7907928661906057E-3</v>
      </c>
      <c r="F15">
        <f>'GOOGL DATA'!C14</f>
        <v>6.7402356412606418E-2</v>
      </c>
      <c r="H15" s="15" t="str">
        <f>M10</f>
        <v>Google</v>
      </c>
      <c r="I15">
        <f>$M$11</f>
        <v>0.59218700006862524</v>
      </c>
      <c r="J15" s="16">
        <f>CORREL($F$4:$F$62,$C$4:$C$62)</f>
        <v>0.68927093649582505</v>
      </c>
      <c r="K15">
        <f>CORREL($F$4:$F$62,$D$4:$D$62)</f>
        <v>0.6549121890825127</v>
      </c>
      <c r="L15">
        <f>CORREL($F$4:$F$62,$E$4:$E$62)</f>
        <v>0.61728539692491879</v>
      </c>
      <c r="M15">
        <v>1</v>
      </c>
    </row>
    <row r="16" spans="1:13">
      <c r="A16" s="13">
        <v>43862</v>
      </c>
      <c r="B16">
        <f>'AAPL DATA'!C15</f>
        <v>-0.12420095166540165</v>
      </c>
      <c r="C16">
        <f>'MSFT DATA'!C15</f>
        <v>-4.9492068584262687E-2</v>
      </c>
      <c r="D16">
        <f>'AMZN DATA'!C15</f>
        <v>-6.4233202468866962E-2</v>
      </c>
      <c r="E16">
        <f>'NVDA DATA'!C15</f>
        <v>0.13302877330614737</v>
      </c>
      <c r="F16">
        <f>'GOOGL DATA'!C15</f>
        <v>-6.7506827338245798E-2</v>
      </c>
    </row>
    <row r="17" spans="1:15" ht="15.6">
      <c r="A17" s="13">
        <v>43891</v>
      </c>
      <c r="B17">
        <f>'AAPL DATA'!C16</f>
        <v>-6.9943893307437305E-2</v>
      </c>
      <c r="C17">
        <f>'MSFT DATA'!C16</f>
        <v>-2.4172733914345011E-2</v>
      </c>
      <c r="D17">
        <f>'AMZN DATA'!C16</f>
        <v>3.442130156350344E-2</v>
      </c>
      <c r="E17">
        <f>'NVDA DATA'!C16</f>
        <v>-2.3650256551801863E-2</v>
      </c>
      <c r="F17">
        <f>'GOOGL DATA'!C16</f>
        <v>-0.14201015740235781</v>
      </c>
      <c r="H17" s="15" t="s">
        <v>125</v>
      </c>
    </row>
    <row r="18" spans="1:15" ht="15.6">
      <c r="A18" s="13">
        <v>43922</v>
      </c>
      <c r="B18">
        <f>'AAPL DATA'!C17</f>
        <v>0.14442395658848978</v>
      </c>
      <c r="C18">
        <f>'MSFT DATA'!C17</f>
        <v>0.12780052009109191</v>
      </c>
      <c r="D18">
        <f>'AMZN DATA'!C17</f>
        <v>0.23815047719600116</v>
      </c>
      <c r="E18">
        <f>'NVDA DATA'!C17</f>
        <v>0.10327942396937209</v>
      </c>
      <c r="F18">
        <f>'GOOGL DATA'!C17</f>
        <v>0.14755751237870379</v>
      </c>
      <c r="H18" s="14"/>
      <c r="I18" s="12" t="s">
        <v>116</v>
      </c>
      <c r="J18" s="12" t="s">
        <v>117</v>
      </c>
      <c r="K18" s="12" t="s">
        <v>118</v>
      </c>
      <c r="L18" s="12" t="s">
        <v>119</v>
      </c>
      <c r="M18" s="12" t="s">
        <v>120</v>
      </c>
      <c r="O18" s="12" t="s">
        <v>126</v>
      </c>
    </row>
    <row r="19" spans="1:15" ht="15.6">
      <c r="A19" s="13">
        <v>43952</v>
      </c>
      <c r="B19">
        <f>'AAPL DATA'!C18</f>
        <v>7.8963580278852294E-2</v>
      </c>
      <c r="C19">
        <f>'MSFT DATA'!C18</f>
        <v>2.2293042276691835E-2</v>
      </c>
      <c r="D19">
        <f>'AMZN DATA'!C18</f>
        <v>-1.2867370355305958E-2</v>
      </c>
      <c r="E19">
        <f>'NVDA DATA'!C18</f>
        <v>0.19446188198948774</v>
      </c>
      <c r="F19">
        <f>'GOOGL DATA'!C18</f>
        <v>6.2475859342295145E-2</v>
      </c>
      <c r="H19" s="12" t="s">
        <v>116</v>
      </c>
      <c r="I19" s="14">
        <f>I5</f>
        <v>7.3120730783643156E-3</v>
      </c>
      <c r="J19" s="14">
        <f>_xlfn.COVARIANCE.S($B$4:$B$62, $C$4:$C$62)</f>
        <v>4.0009962022488424E-3</v>
      </c>
      <c r="K19" s="14">
        <f>_xlfn.COVARIANCE.S($B$4:$B$62, $D$4:$D$62)</f>
        <v>5.7776742538050985E-3</v>
      </c>
      <c r="L19" s="14">
        <f>_xlfn.COVARIANCE.S($B$4:$B$62,$E$4:$E$62)</f>
        <v>7.8460551722732488E-3</v>
      </c>
      <c r="M19" s="14">
        <f>_xlfn.COVARIANCE.S($B$4:$B$62,$F$4:$F$62)</f>
        <v>3.9295257333907567E-3</v>
      </c>
      <c r="O19">
        <f>I4</f>
        <v>2.6641341042507996E-2</v>
      </c>
    </row>
    <row r="20" spans="1:15" ht="15.6">
      <c r="A20" s="13">
        <v>43983</v>
      </c>
      <c r="B20">
        <f>'AAPL DATA'!C19</f>
        <v>0.14018983939120738</v>
      </c>
      <c r="C20">
        <f>'MSFT DATA'!C19</f>
        <v>0.10764481653665572</v>
      </c>
      <c r="D20">
        <f>'AMZN DATA'!C19</f>
        <v>0.12183412921787694</v>
      </c>
      <c r="E20">
        <f>'NVDA DATA'!C19</f>
        <v>6.7760426850552974E-2</v>
      </c>
      <c r="F20">
        <f>'GOOGL DATA'!C19</f>
        <v>-1.0850367961365846E-2</v>
      </c>
      <c r="H20" s="12" t="str">
        <f>J18</f>
        <v>Microsoft</v>
      </c>
      <c r="I20" s="14">
        <f>J19</f>
        <v>4.0009962022488424E-3</v>
      </c>
      <c r="J20" s="14">
        <f>J5</f>
        <v>3.9360481741346634E-3</v>
      </c>
      <c r="K20" s="14">
        <f>J21</f>
        <v>4.104254470883837E-3</v>
      </c>
      <c r="L20" s="14">
        <f>J22</f>
        <v>5.9667782991951945E-3</v>
      </c>
      <c r="M20" s="14">
        <f>J23</f>
        <v>3.3556849139481739E-3</v>
      </c>
      <c r="O20">
        <f>J4</f>
        <v>2.2261946762103132E-2</v>
      </c>
    </row>
    <row r="21" spans="1:15" ht="15.6">
      <c r="A21" s="13">
        <v>44013</v>
      </c>
      <c r="B21">
        <f>'AAPL DATA'!C20</f>
        <v>0.15283394972356709</v>
      </c>
      <c r="C21">
        <f>'MSFT DATA'!C20</f>
        <v>7.3437123237624583E-3</v>
      </c>
      <c r="D21">
        <f>'AMZN DATA'!C20</f>
        <v>0.13724889814024721</v>
      </c>
      <c r="E21">
        <f>'NVDA DATA'!C20</f>
        <v>0.11164570420261184</v>
      </c>
      <c r="F21">
        <f>'GOOGL DATA'!C20</f>
        <v>4.8116688250814992E-2</v>
      </c>
      <c r="H21" s="12" t="str">
        <f>K18</f>
        <v>Amazon</v>
      </c>
      <c r="I21" s="14">
        <f>K19</f>
        <v>5.7776742538050985E-3</v>
      </c>
      <c r="J21" s="14">
        <f>_xlfn.COVARIANCE.S($D$4:$D$62,$C$4:$C$62)</f>
        <v>4.104254470883837E-3</v>
      </c>
      <c r="K21" s="14">
        <f>K5</f>
        <v>8.6030950997327445E-3</v>
      </c>
      <c r="L21" s="14">
        <f>K22</f>
        <v>8.7787270382543182E-3</v>
      </c>
      <c r="M21" s="14">
        <f>K23</f>
        <v>4.7138031425172531E-3</v>
      </c>
      <c r="O21">
        <f>K4</f>
        <v>8.8103266252749068E-3</v>
      </c>
    </row>
    <row r="22" spans="1:15" ht="15.6">
      <c r="A22" s="13">
        <v>44044</v>
      </c>
      <c r="B22">
        <f>'AAPL DATA'!C21</f>
        <v>0.19423350416340887</v>
      </c>
      <c r="C22">
        <f>'MSFT DATA'!C21</f>
        <v>9.539437369694137E-2</v>
      </c>
      <c r="D22">
        <f>'AMZN DATA'!C21</f>
        <v>8.6600569666522215E-2</v>
      </c>
      <c r="E22">
        <f>'NVDA DATA'!C21</f>
        <v>0.23110523831985055</v>
      </c>
      <c r="F22">
        <f>'GOOGL DATA'!C21</f>
        <v>9.0892321700384138E-2</v>
      </c>
      <c r="H22" s="12" t="str">
        <f>L18</f>
        <v>NVDA</v>
      </c>
      <c r="I22" s="14">
        <f>L19</f>
        <v>7.8460551722732488E-3</v>
      </c>
      <c r="J22" s="14">
        <f>_xlfn.COVARIANCE.S($E$4:$E$62,$C$4:$C$62)</f>
        <v>5.9667782991951945E-3</v>
      </c>
      <c r="K22" s="14">
        <f>_xlfn.COVARIANCE.S($E$4:$E$62,$D$4:$D$62)</f>
        <v>8.7787270382543182E-3</v>
      </c>
      <c r="L22" s="14">
        <f>L5</f>
        <v>2.0287240937383721E-2</v>
      </c>
      <c r="M22" s="14">
        <f>L23</f>
        <v>6.8227349922187841E-3</v>
      </c>
      <c r="O22">
        <f>L4</f>
        <v>4.3157488088748752E-2</v>
      </c>
    </row>
    <row r="23" spans="1:15" ht="15.6">
      <c r="A23" s="13">
        <v>44075</v>
      </c>
      <c r="B23">
        <f>'AAPL DATA'!C22</f>
        <v>-0.10637018873746623</v>
      </c>
      <c r="C23">
        <f>'MSFT DATA'!C22</f>
        <v>-6.7361106556471734E-2</v>
      </c>
      <c r="D23">
        <f>'AMZN DATA'!C22</f>
        <v>-9.1653323912149628E-2</v>
      </c>
      <c r="E23">
        <f>'NVDA DATA'!C22</f>
        <v>1.1596645515764089E-2</v>
      </c>
      <c r="F23">
        <f>'GOOGL DATA'!C22</f>
        <v>-0.1060269406634291</v>
      </c>
      <c r="H23" s="12" t="str">
        <f>M18</f>
        <v>Google</v>
      </c>
      <c r="I23" s="14">
        <f>M19</f>
        <v>3.9295257333907567E-3</v>
      </c>
      <c r="J23" s="17">
        <f>_xlfn.COVARIANCE.S($F$4:$F$62,$C$4:$C$62)</f>
        <v>3.3556849139481739E-3</v>
      </c>
      <c r="K23" s="14">
        <f>_xlfn.COVARIANCE.S($F$4:$F$62,$D$4:$D$62)</f>
        <v>4.7138031425172531E-3</v>
      </c>
      <c r="L23" s="14">
        <f>_xlfn.COVARIANCE.S($F$4:$F$62,$E$4:$E$62)</f>
        <v>6.8227349922187841E-3</v>
      </c>
      <c r="M23" s="14">
        <f>M5</f>
        <v>6.0217401722240469E-3</v>
      </c>
      <c r="O23">
        <f>M4</f>
        <v>1.4187991722645456E-2</v>
      </c>
    </row>
    <row r="24" spans="1:15">
      <c r="A24" s="13">
        <v>44105</v>
      </c>
      <c r="B24">
        <f>'AAPL DATA'!C23</f>
        <v>-6.188815505419578E-2</v>
      </c>
      <c r="C24">
        <f>'MSFT DATA'!C23</f>
        <v>-3.8085925326537602E-2</v>
      </c>
      <c r="D24">
        <f>'AMZN DATA'!C23</f>
        <v>-3.6408919984196417E-2</v>
      </c>
      <c r="E24">
        <f>'NVDA DATA'!C23</f>
        <v>-7.620239199078542E-2</v>
      </c>
      <c r="F24">
        <f>'GOOGL DATA'!C23</f>
        <v>9.7757276296201567E-2</v>
      </c>
    </row>
    <row r="25" spans="1:15">
      <c r="A25" s="13">
        <v>44136</v>
      </c>
      <c r="B25">
        <f>'AAPL DATA'!C24</f>
        <v>8.9480837662601592E-2</v>
      </c>
      <c r="C25">
        <f>'MSFT DATA'!C24</f>
        <v>5.5711342874760296E-2</v>
      </c>
      <c r="D25">
        <f>'AMZN DATA'!C24</f>
        <v>4.2522823452665913E-2</v>
      </c>
      <c r="E25">
        <f>'NVDA DATA'!C24</f>
        <v>6.69218879219141E-2</v>
      </c>
      <c r="F25">
        <f>'GOOGL DATA'!C24</f>
        <v>8.210495193380811E-2</v>
      </c>
      <c r="I25" s="2"/>
      <c r="J25" s="2"/>
      <c r="K25" s="2"/>
    </row>
    <row r="26" spans="1:15">
      <c r="A26" s="13">
        <v>44166</v>
      </c>
      <c r="B26">
        <f>'AAPL DATA'!C25</f>
        <v>0.11019586303178794</v>
      </c>
      <c r="C26">
        <f>'MSFT DATA'!C25</f>
        <v>4.087897637757975E-2</v>
      </c>
      <c r="D26">
        <f>'AMZN DATA'!C25</f>
        <v>2.7671959526437605E-2</v>
      </c>
      <c r="E26">
        <f>'NVDA DATA'!C25</f>
        <v>-2.6195357606737489E-2</v>
      </c>
      <c r="F26">
        <f>'GOOGL DATA'!C25</f>
        <v>-1.003661262805445E-3</v>
      </c>
    </row>
    <row r="27" spans="1:15">
      <c r="A27" s="13">
        <v>44197</v>
      </c>
      <c r="B27">
        <f>'AAPL DATA'!C26</f>
        <v>-5.5166165713392288E-3</v>
      </c>
      <c r="C27">
        <f>'MSFT DATA'!C26</f>
        <v>4.1997538388595775E-2</v>
      </c>
      <c r="D27">
        <f>'AMZN DATA'!C26</f>
        <v>-1.5698592672562395E-2</v>
      </c>
      <c r="E27">
        <f>'NVDA DATA'!C26</f>
        <v>-4.7153577916794641E-3</v>
      </c>
      <c r="F27">
        <f>'GOOGL DATA'!C26</f>
        <v>4.1748990282510688E-2</v>
      </c>
    </row>
    <row r="28" spans="1:15" ht="27.6">
      <c r="A28" s="13">
        <v>44228</v>
      </c>
      <c r="B28">
        <f>'AAPL DATA'!C27</f>
        <v>-8.4561941228217335E-2</v>
      </c>
      <c r="C28">
        <f>'MSFT DATA'!C27</f>
        <v>1.8090044050334104E-3</v>
      </c>
      <c r="D28">
        <f>'AMZN DATA'!C27</f>
        <v>-3.5967561099888266E-2</v>
      </c>
      <c r="E28">
        <f>'NVDA DATA'!C27</f>
        <v>5.4293177213648319E-2</v>
      </c>
      <c r="F28">
        <f>'GOOGL DATA'!C27</f>
        <v>0.10117032100583911</v>
      </c>
      <c r="H28" s="19" t="s">
        <v>127</v>
      </c>
      <c r="I28" s="19"/>
      <c r="J28" s="19"/>
      <c r="K28" s="19"/>
      <c r="L28" s="19"/>
      <c r="M28" s="19"/>
      <c r="O28" s="22" t="s">
        <v>128</v>
      </c>
    </row>
    <row r="29" spans="1:15" ht="13.8">
      <c r="A29" s="13">
        <v>44256</v>
      </c>
      <c r="B29">
        <f>'AAPL DATA'!C28</f>
        <v>8.8059848529029698E-3</v>
      </c>
      <c r="C29">
        <f>'MSFT DATA'!C28</f>
        <v>1.6783305648783595E-2</v>
      </c>
      <c r="D29">
        <f>'AMZN DATA'!C28</f>
        <v>3.7171429554038723E-4</v>
      </c>
      <c r="E29">
        <f>'NVDA DATA'!C28</f>
        <v>-2.7068619532964504E-2</v>
      </c>
      <c r="F29">
        <f>'GOOGL DATA'!C28</f>
        <v>1.9885946905510338E-2</v>
      </c>
      <c r="I29" s="18" t="str">
        <f>H30</f>
        <v>Apple</v>
      </c>
      <c r="J29" s="18" t="str">
        <f>H31</f>
        <v>Microsoft</v>
      </c>
      <c r="K29" s="18" t="str">
        <f>H32</f>
        <v>Amazon</v>
      </c>
      <c r="L29" s="18" t="str">
        <f>H33</f>
        <v>NVDA</v>
      </c>
      <c r="M29" s="18" t="str">
        <f>H34</f>
        <v>Google</v>
      </c>
      <c r="O29" s="22"/>
    </row>
    <row r="30" spans="1:15" ht="13.8">
      <c r="A30" s="13">
        <v>44287</v>
      </c>
      <c r="B30">
        <f>'AAPL DATA'!C29</f>
        <v>7.345289625350683E-2</v>
      </c>
      <c r="C30">
        <f>'MSFT DATA'!C29</f>
        <v>6.7286360728857561E-2</v>
      </c>
      <c r="D30">
        <f>'AMZN DATA'!C29</f>
        <v>0.11392023710632282</v>
      </c>
      <c r="E30">
        <f>'NVDA DATA'!C29</f>
        <v>0.11764324174015156</v>
      </c>
      <c r="F30">
        <f>'GOOGL DATA'!C29</f>
        <v>0.1319750809005</v>
      </c>
      <c r="H30" s="18" t="s">
        <v>116</v>
      </c>
      <c r="I30" s="20">
        <f t="shared" ref="I30:M34" si="0">I19</f>
        <v>7.3120730783643156E-3</v>
      </c>
      <c r="J30" s="20">
        <f t="shared" si="0"/>
        <v>4.0009962022488424E-3</v>
      </c>
      <c r="K30" s="20">
        <f t="shared" si="0"/>
        <v>5.7776742538050985E-3</v>
      </c>
      <c r="L30" s="20">
        <f t="shared" si="0"/>
        <v>7.8460551722732488E-3</v>
      </c>
      <c r="M30" s="20">
        <f t="shared" si="0"/>
        <v>3.9295257333907567E-3</v>
      </c>
      <c r="O30" s="51">
        <f>I4</f>
        <v>2.6641341042507996E-2</v>
      </c>
    </row>
    <row r="31" spans="1:15" ht="13.8">
      <c r="A31" s="13">
        <v>44317</v>
      </c>
      <c r="B31">
        <f>'AAPL DATA'!C30</f>
        <v>-5.3513885351983009E-2</v>
      </c>
      <c r="C31">
        <f>'MSFT DATA'!C30</f>
        <v>-9.9629292976758967E-3</v>
      </c>
      <c r="D31">
        <f>'AMZN DATA'!C30</f>
        <v>-7.3076472990903529E-2</v>
      </c>
      <c r="E31">
        <f>'NVDA DATA'!C30</f>
        <v>7.9071303382626371E-2</v>
      </c>
      <c r="F31">
        <f>'GOOGL DATA'!C30</f>
        <v>1.4223658693422246E-3</v>
      </c>
      <c r="H31" s="18" t="s">
        <v>117</v>
      </c>
      <c r="I31" s="20">
        <f t="shared" si="0"/>
        <v>4.0009962022488424E-3</v>
      </c>
      <c r="J31" s="20">
        <f t="shared" si="0"/>
        <v>3.9360481741346634E-3</v>
      </c>
      <c r="K31" s="20">
        <f t="shared" si="0"/>
        <v>4.104254470883837E-3</v>
      </c>
      <c r="L31" s="20">
        <f t="shared" si="0"/>
        <v>5.9667782991951945E-3</v>
      </c>
      <c r="M31" s="20">
        <f t="shared" si="0"/>
        <v>3.3556849139481739E-3</v>
      </c>
      <c r="O31" s="51">
        <f>J4</f>
        <v>2.2261946762103132E-2</v>
      </c>
    </row>
    <row r="32" spans="1:15" ht="13.8">
      <c r="A32" s="13">
        <v>44348</v>
      </c>
      <c r="B32">
        <f>'AAPL DATA'!C31</f>
        <v>9.6197218369465043E-2</v>
      </c>
      <c r="C32">
        <f>'MSFT DATA'!C31</f>
        <v>8.3876042365376186E-2</v>
      </c>
      <c r="D32">
        <f>'AMZN DATA'!C31</f>
        <v>6.518361856816951E-2</v>
      </c>
      <c r="E32">
        <f>'NVDA DATA'!C31</f>
        <v>0.20810253187030497</v>
      </c>
      <c r="F32">
        <f>'GOOGL DATA'!C31</f>
        <v>3.5405403682381487E-2</v>
      </c>
      <c r="H32" s="18" t="s">
        <v>118</v>
      </c>
      <c r="I32" s="20">
        <f t="shared" si="0"/>
        <v>5.7776742538050985E-3</v>
      </c>
      <c r="J32" s="20">
        <f t="shared" si="0"/>
        <v>4.104254470883837E-3</v>
      </c>
      <c r="K32" s="20">
        <f t="shared" si="0"/>
        <v>8.6030950997327445E-3</v>
      </c>
      <c r="L32" s="20">
        <f t="shared" si="0"/>
        <v>8.7787270382543182E-3</v>
      </c>
      <c r="M32" s="20">
        <f t="shared" si="0"/>
        <v>4.7138031425172531E-3</v>
      </c>
      <c r="O32" s="51">
        <f>K4</f>
        <v>8.8103266252749068E-3</v>
      </c>
    </row>
    <row r="33" spans="1:15" ht="13.8">
      <c r="A33" s="13">
        <v>44378</v>
      </c>
      <c r="B33">
        <f>'AAPL DATA'!C32</f>
        <v>6.2958393325904416E-2</v>
      </c>
      <c r="C33">
        <f>'MSFT DATA'!C32</f>
        <v>5.0423648378549485E-2</v>
      </c>
      <c r="D33">
        <f>'AMZN DATA'!C32</f>
        <v>-3.3269634412303593E-2</v>
      </c>
      <c r="E33">
        <f>'NVDA DATA'!C32</f>
        <v>-2.5264905875722329E-2</v>
      </c>
      <c r="F33">
        <f>'GOOGL DATA'!C32</f>
        <v>9.8492422638206359E-2</v>
      </c>
      <c r="H33" s="18" t="s">
        <v>119</v>
      </c>
      <c r="I33" s="20">
        <f t="shared" si="0"/>
        <v>7.8460551722732488E-3</v>
      </c>
      <c r="J33" s="20">
        <f t="shared" si="0"/>
        <v>5.9667782991951945E-3</v>
      </c>
      <c r="K33" s="20">
        <f t="shared" si="0"/>
        <v>8.7787270382543182E-3</v>
      </c>
      <c r="L33" s="20">
        <f t="shared" si="0"/>
        <v>2.0287240937383721E-2</v>
      </c>
      <c r="M33" s="20">
        <f t="shared" si="0"/>
        <v>6.8227349922187841E-3</v>
      </c>
      <c r="O33" s="51">
        <f>L4</f>
        <v>4.3157488088748752E-2</v>
      </c>
    </row>
    <row r="34" spans="1:15" ht="13.8">
      <c r="A34" s="13">
        <v>44409</v>
      </c>
      <c r="B34">
        <f>'AAPL DATA'!C33</f>
        <v>4.0114264428963785E-2</v>
      </c>
      <c r="C34">
        <f>'MSFT DATA'!C33</f>
        <v>5.7856222621963403E-2</v>
      </c>
      <c r="D34">
        <f>'AMZN DATA'!C33</f>
        <v>4.213393830025404E-2</v>
      </c>
      <c r="E34">
        <f>'NVDA DATA'!C33</f>
        <v>0.1380279974990494</v>
      </c>
      <c r="F34">
        <f>'GOOGL DATA'!C33</f>
        <v>7.1398516837171841E-2</v>
      </c>
      <c r="H34" s="18" t="s">
        <v>120</v>
      </c>
      <c r="I34" s="20">
        <f t="shared" si="0"/>
        <v>3.9295257333907567E-3</v>
      </c>
      <c r="J34" s="20">
        <f t="shared" si="0"/>
        <v>3.3556849139481739E-3</v>
      </c>
      <c r="K34" s="20">
        <f t="shared" si="0"/>
        <v>4.7138031425172531E-3</v>
      </c>
      <c r="L34" s="20">
        <f t="shared" si="0"/>
        <v>6.8227349922187841E-3</v>
      </c>
      <c r="M34" s="20">
        <f t="shared" si="0"/>
        <v>6.0217401722240469E-3</v>
      </c>
      <c r="O34" s="51">
        <f>M4</f>
        <v>1.4187991722645456E-2</v>
      </c>
    </row>
    <row r="35" spans="1:15" ht="15" customHeight="1">
      <c r="A35" s="13">
        <v>44440</v>
      </c>
      <c r="B35">
        <f>'AAPL DATA'!C34</f>
        <v>-6.896466779863944E-2</v>
      </c>
      <c r="C35">
        <f>'MSFT DATA'!C34</f>
        <v>-6.649372692810078E-2</v>
      </c>
      <c r="D35">
        <f>'AMZN DATA'!C34</f>
        <v>-5.5003440230443415E-2</v>
      </c>
      <c r="E35">
        <f>'NVDA DATA'!C34</f>
        <v>-7.730841469440082E-2</v>
      </c>
      <c r="F35">
        <f>'GOOGL DATA'!C34</f>
        <v>-7.9226397574939364E-2</v>
      </c>
    </row>
    <row r="36" spans="1:15">
      <c r="A36" s="13">
        <v>44470</v>
      </c>
      <c r="B36">
        <f>'AAPL DATA'!C35</f>
        <v>5.7001327354450043E-2</v>
      </c>
      <c r="C36">
        <f>'MSFT DATA'!C35</f>
        <v>0.16236637619524408</v>
      </c>
      <c r="D36">
        <f>'AMZN DATA'!C35</f>
        <v>2.6254766017016092E-2</v>
      </c>
      <c r="E36">
        <f>'NVDA DATA'!C35</f>
        <v>0.21039603605772669</v>
      </c>
      <c r="F36">
        <f>'GOOGL DATA'!C35</f>
        <v>0.10210414582322459</v>
      </c>
      <c r="H36" t="s">
        <v>129</v>
      </c>
      <c r="I36" s="2">
        <v>0</v>
      </c>
      <c r="J36" s="2">
        <v>0.04</v>
      </c>
      <c r="K36" s="2">
        <v>0.06</v>
      </c>
      <c r="L36" s="3"/>
    </row>
    <row r="37" spans="1:15" ht="15" customHeight="1">
      <c r="A37" s="13">
        <v>44501</v>
      </c>
      <c r="B37">
        <f>'AAPL DATA'!C36</f>
        <v>9.8461015252340703E-2</v>
      </c>
      <c r="C37">
        <f>'MSFT DATA'!C36</f>
        <v>-3.1108611650583215E-3</v>
      </c>
      <c r="D37">
        <f>'AMZN DATA'!C36</f>
        <v>3.9147342687309496E-2</v>
      </c>
      <c r="E37">
        <f>'NVDA DATA'!C36</f>
        <v>0.24533846163583461</v>
      </c>
      <c r="F37">
        <f>'GOOGL DATA'!C36</f>
        <v>-4.2418054755232172E-2</v>
      </c>
      <c r="I37" s="22" t="s">
        <v>130</v>
      </c>
      <c r="J37" s="22" t="s">
        <v>131</v>
      </c>
      <c r="K37" s="22" t="s">
        <v>132</v>
      </c>
    </row>
    <row r="38" spans="1:15" ht="13.8">
      <c r="A38" s="13">
        <v>44531</v>
      </c>
      <c r="B38">
        <f>'AAPL DATA'!C37</f>
        <v>7.306120227338167E-2</v>
      </c>
      <c r="C38">
        <f>'MSFT DATA'!C37</f>
        <v>1.9012147780190249E-2</v>
      </c>
      <c r="D38">
        <f>'AMZN DATA'!C37</f>
        <v>-5.0506202296509706E-2</v>
      </c>
      <c r="E38">
        <f>'NVDA DATA'!C37</f>
        <v>-0.10527211971058845</v>
      </c>
      <c r="F38">
        <f>'GOOGL DATA'!C37</f>
        <v>2.0607550723674564E-2</v>
      </c>
      <c r="H38" s="18" t="str">
        <f>H30</f>
        <v>Apple</v>
      </c>
      <c r="I38" s="3" cm="1">
        <f t="array" ref="I38:I42">MMULT(MINVERSE($I$30:$M$34),$O$30:$O$34-$I$36)/SUM(MMULT(MINVERSE($I$30:$M$34),O30:O34-$I$36))</f>
        <v>0.62863385293280771</v>
      </c>
      <c r="J38" s="2" cm="1">
        <f t="array" ref="J38:J42">MMULT(MINVERSE($I$30:$M$34),$O$30:$O$34-$J$36)/SUM(MMULT(MINVERSE($I$30:$M$34),$O$30:$O$34-$J$36))</f>
        <v>-0.33646431236903612</v>
      </c>
      <c r="K38" s="2" cm="1">
        <f t="array" ref="K38:K42">MMULT(MINVERSE($I$30:$M$34),$O$30:$O$34-$K$36)/SUM(MMULT(MINVERSE($I$30:$M$34),$O$30:$O$34-$K$36))</f>
        <v>-0.15695568471602914</v>
      </c>
    </row>
    <row r="39" spans="1:15" ht="13.8">
      <c r="A39" s="13">
        <v>44562</v>
      </c>
      <c r="B39">
        <f>'AAPL DATA'!C38</f>
        <v>-1.5836953348040542E-2</v>
      </c>
      <c r="C39">
        <f>'MSFT DATA'!C38</f>
        <v>-7.8334499017516518E-2</v>
      </c>
      <c r="D39">
        <f>'AMZN DATA'!C38</f>
        <v>-0.10850980998699417</v>
      </c>
      <c r="E39">
        <f>'NVDA DATA'!C38</f>
        <v>-0.18314478397362985</v>
      </c>
      <c r="F39">
        <f>'GOOGL DATA'!C38</f>
        <v>-6.819218491469356E-2</v>
      </c>
      <c r="H39" s="18" t="str">
        <f t="shared" ref="H39:H42" si="1">H31</f>
        <v>Microsoft</v>
      </c>
      <c r="I39" s="3">
        <v>1.2940737775609199</v>
      </c>
      <c r="J39" s="2">
        <v>0.6164520571354728</v>
      </c>
      <c r="K39" s="2">
        <v>0.74248995615416769</v>
      </c>
    </row>
    <row r="40" spans="1:15" ht="13.8">
      <c r="A40" s="13">
        <v>44593</v>
      </c>
      <c r="B40">
        <f>'AAPL DATA'!C39</f>
        <v>-5.6855554482874195E-2</v>
      </c>
      <c r="C40">
        <f>'MSFT DATA'!C39</f>
        <v>-3.9987640362622937E-2</v>
      </c>
      <c r="D40">
        <f>'AMZN DATA'!C39</f>
        <v>2.632300814397032E-2</v>
      </c>
      <c r="E40">
        <f>'NVDA DATA'!C39</f>
        <v>-4.1333242720628443E-3</v>
      </c>
      <c r="F40">
        <f>'GOOGL DATA'!C39</f>
        <v>-1.8234177303888531E-3</v>
      </c>
      <c r="H40" s="18" t="str">
        <f t="shared" si="1"/>
        <v>Amazon</v>
      </c>
      <c r="I40" s="3">
        <v>-1.0759773107492365</v>
      </c>
      <c r="J40" s="2">
        <v>0.72372912445964754</v>
      </c>
      <c r="K40" s="2">
        <v>0.38898303957657138</v>
      </c>
    </row>
    <row r="41" spans="1:15" ht="13.8">
      <c r="A41" s="13">
        <v>44621</v>
      </c>
      <c r="B41">
        <f>'AAPL DATA'!C40</f>
        <v>5.7155818028806038E-2</v>
      </c>
      <c r="C41">
        <f>'MSFT DATA'!C40</f>
        <v>3.34302742638855E-2</v>
      </c>
      <c r="D41">
        <f>'AMZN DATA'!C40</f>
        <v>5.9623918668408965E-2</v>
      </c>
      <c r="E41">
        <f>'NVDA DATA'!C40</f>
        <v>0.11240528476259391</v>
      </c>
      <c r="F41">
        <f>'GOOGL DATA'!C40</f>
        <v>2.926249934423648E-2</v>
      </c>
      <c r="H41" s="18" t="str">
        <f t="shared" si="1"/>
        <v>NVDA</v>
      </c>
      <c r="I41" s="3">
        <v>0.34901119546061304</v>
      </c>
      <c r="J41" s="25">
        <v>-0.58044436787639253</v>
      </c>
      <c r="K41" s="25">
        <v>-0.40756527781315927</v>
      </c>
    </row>
    <row r="42" spans="1:15" ht="13.8">
      <c r="A42" s="13">
        <v>44652</v>
      </c>
      <c r="B42">
        <f>'AAPL DATA'!C41</f>
        <v>-0.10217776212841319</v>
      </c>
      <c r="C42">
        <f>'MSFT DATA'!C41</f>
        <v>-0.10521275056535632</v>
      </c>
      <c r="D42">
        <f>'AMZN DATA'!C41</f>
        <v>-0.27118568093075529</v>
      </c>
      <c r="E42">
        <f>'NVDA DATA'!C41</f>
        <v>-0.38589503666481534</v>
      </c>
      <c r="F42">
        <f>'GOOGL DATA'!C41</f>
        <v>-0.19780097531460358</v>
      </c>
      <c r="H42" s="18" t="str">
        <f t="shared" si="1"/>
        <v>Google</v>
      </c>
      <c r="I42" s="3">
        <v>-0.19574151520510435</v>
      </c>
      <c r="J42" s="2">
        <v>0.57672749865030826</v>
      </c>
      <c r="K42" s="27">
        <v>0.43304796679844942</v>
      </c>
      <c r="N42" s="23"/>
    </row>
    <row r="43" spans="1:15" ht="13.8">
      <c r="A43" s="13">
        <v>44682</v>
      </c>
      <c r="B43">
        <f>'AAPL DATA'!C42</f>
        <v>-5.7505484984977227E-2</v>
      </c>
      <c r="C43">
        <f>'MSFT DATA'!C42</f>
        <v>-2.0568948596594003E-2</v>
      </c>
      <c r="D43">
        <f>'AMZN DATA'!C42</f>
        <v>-3.3313091188743461E-2</v>
      </c>
      <c r="E43">
        <f>'NVDA DATA'!C42</f>
        <v>6.716932636536512E-3</v>
      </c>
      <c r="F43">
        <f>'GOOGL DATA'!C42</f>
        <v>-3.0499318468492709E-3</v>
      </c>
      <c r="H43" s="18" t="s">
        <v>133</v>
      </c>
      <c r="I43" s="24">
        <f>SUM(_xlfn.ANCHORARRAY(I38))</f>
        <v>0.99999999999999978</v>
      </c>
      <c r="J43" s="24">
        <f t="shared" ref="J43" si="2">SUM(_xlfn.ANCHORARRAY(J38))</f>
        <v>1</v>
      </c>
      <c r="K43" s="24">
        <f>SUM(_xlfn.ANCHORARRAY(K38))</f>
        <v>1</v>
      </c>
      <c r="L43" s="24"/>
    </row>
    <row r="44" spans="1:15">
      <c r="A44" s="13">
        <v>44713</v>
      </c>
      <c r="B44">
        <f>'AAPL DATA'!C43</f>
        <v>-8.3468538215349442E-2</v>
      </c>
      <c r="C44">
        <f>'MSFT DATA'!C43</f>
        <v>-5.4583206634731783E-2</v>
      </c>
      <c r="D44">
        <f>'AMZN DATA'!C43</f>
        <v>-0.12381782195806545</v>
      </c>
      <c r="E44">
        <f>'NVDA DATA'!C43</f>
        <v>-0.20843071165310542</v>
      </c>
      <c r="F44">
        <f>'GOOGL DATA'!C43</f>
        <v>-4.3100208033141033E-2</v>
      </c>
    </row>
    <row r="45" spans="1:15" ht="15" customHeight="1">
      <c r="A45" s="13">
        <v>44743</v>
      </c>
      <c r="B45">
        <f>'AAPL DATA'!C44</f>
        <v>0.17280445476871337</v>
      </c>
      <c r="C45">
        <f>'MSFT DATA'!C44</f>
        <v>8.9014514048670459E-2</v>
      </c>
      <c r="D45">
        <f>'AMZN DATA'!C44</f>
        <v>0.23948606031541886</v>
      </c>
      <c r="E45">
        <f>'NVDA DATA'!C44</f>
        <v>0.18100350702630855</v>
      </c>
      <c r="F45">
        <f>'GOOGL DATA'!C44</f>
        <v>6.5336666255668571E-2</v>
      </c>
      <c r="H45" t="s">
        <v>134</v>
      </c>
      <c r="I45" s="26">
        <f>SUMPRODUCT(_xlfn.ANCHORARRAY($I$38),$O$30:$O$34)</f>
        <v>4.8361806373481218E-2</v>
      </c>
      <c r="J45" s="26">
        <f>SUMPRODUCT(_xlfn.ANCHORARRAY(J38),$O$30:$O$34)</f>
        <v>-5.7320635581379689E-3</v>
      </c>
      <c r="K45" s="26">
        <f>SUMPRODUCT(_xlfn.ANCHORARRAY(K38),$O$30:$O$34)</f>
        <v>4.3294169264179554E-3</v>
      </c>
    </row>
    <row r="46" spans="1:15">
      <c r="A46" s="13">
        <v>44774</v>
      </c>
      <c r="B46">
        <f>'AAPL DATA'!C45</f>
        <v>-3.3093341704764231E-2</v>
      </c>
      <c r="C46">
        <f>'MSFT DATA'!C45</f>
        <v>-7.110945234485723E-2</v>
      </c>
      <c r="D46">
        <f>'AMZN DATA'!C45</f>
        <v>-6.2529919947827542E-2</v>
      </c>
      <c r="E46">
        <f>'NVDA DATA'!C45</f>
        <v>-0.18508909709358778</v>
      </c>
      <c r="F46">
        <f>'GOOGL DATA'!C45</f>
        <v>-7.2178812330183945E-2</v>
      </c>
      <c r="H46" t="s">
        <v>135</v>
      </c>
      <c r="I46" cm="1">
        <f t="array" ref="I46">SQRT(MMULT(MMULT(TRANSPOSE(_xlfn.ANCHORARRAY($I$38)),$I$30:$M$34),_xlfn.ANCHORARRAY($I$38)))</f>
        <v>0.1001631334492258</v>
      </c>
      <c r="J46" cm="1">
        <f t="array" ref="J46">SQRT(MMULT(MMULT(TRANSPOSE(_xlfn.ANCHORARRAY(J38)),$I$30:$M$34),_xlfn.ANCHORARRAY(J38)))</f>
        <v>8.0644079632742699E-2</v>
      </c>
      <c r="K46" cm="1">
        <f t="array" ref="K46">SQRT(MMULT(MMULT(TRANSPOSE(_xlfn.ANCHORARRAY(K38)),$I$30:$M$34),_xlfn.ANCHORARRAY(K38)))</f>
        <v>6.5545283544661104E-2</v>
      </c>
    </row>
    <row r="47" spans="1:15">
      <c r="A47" s="13">
        <v>44805</v>
      </c>
      <c r="B47">
        <f>'AAPL DATA'!C46</f>
        <v>-0.12755610370895393</v>
      </c>
      <c r="C47">
        <f>'MSFT DATA'!C46</f>
        <v>-0.11358998659443961</v>
      </c>
      <c r="D47">
        <f>'AMZN DATA'!C46</f>
        <v>-0.11498657857338955</v>
      </c>
      <c r="E47">
        <f>'NVDA DATA'!C46</f>
        <v>-0.21787401931899281</v>
      </c>
      <c r="F47">
        <f>'GOOGL DATA'!C46</f>
        <v>-0.12347048465919742</v>
      </c>
      <c r="H47" t="s">
        <v>136</v>
      </c>
      <c r="I47" cm="1">
        <f t="array" ref="I47">MMULT(MMULT(TRANSPOSE(_xlfn.ANCHORARRAY(I38)),I30:M34),_xlfn.ANCHORARRAY(J38))</f>
        <v>-1.189116178618724E-3</v>
      </c>
    </row>
    <row r="48" spans="1:15">
      <c r="A48" s="13">
        <v>44835</v>
      </c>
      <c r="B48">
        <f>'AAPL DATA'!C47</f>
        <v>0.10395568554005882</v>
      </c>
      <c r="C48">
        <f>'MSFT DATA'!C47</f>
        <v>-3.31157553898758E-3</v>
      </c>
      <c r="D48">
        <f>'AMZN DATA'!C47</f>
        <v>-9.8110537857392613E-2</v>
      </c>
      <c r="E48">
        <f>'NVDA DATA'!C47</f>
        <v>0.1063411124245552</v>
      </c>
      <c r="F48">
        <f>'GOOGL DATA'!C47</f>
        <v>-1.1990046627081509E-2</v>
      </c>
    </row>
    <row r="49" spans="1:13" ht="13.8">
      <c r="A49" s="13">
        <v>44866</v>
      </c>
      <c r="B49">
        <f>'AAPL DATA'!C48</f>
        <v>-3.5242754236335425E-2</v>
      </c>
      <c r="C49">
        <f>'MSFT DATA'!C48</f>
        <v>9.4514781877402906E-2</v>
      </c>
      <c r="D49">
        <f>'AMZN DATA'!C48</f>
        <v>-5.9319840264200417E-2</v>
      </c>
      <c r="E49">
        <f>'NVDA DATA'!C48</f>
        <v>0.22620625425914831</v>
      </c>
      <c r="F49">
        <f>'GOOGL DATA'!C48</f>
        <v>6.6315812065778093E-2</v>
      </c>
      <c r="H49" s="32" t="s">
        <v>137</v>
      </c>
      <c r="I49" s="28" t="s">
        <v>138</v>
      </c>
      <c r="J49" s="28"/>
      <c r="K49" s="28"/>
      <c r="L49" s="28" t="s">
        <v>139</v>
      </c>
    </row>
    <row r="50" spans="1:13">
      <c r="A50" s="13">
        <v>44896</v>
      </c>
      <c r="B50">
        <f>'AAPL DATA'!C49</f>
        <v>-0.128761634779263</v>
      </c>
      <c r="C50">
        <f>'MSFT DATA'!C49</f>
        <v>-5.910940811418533E-2</v>
      </c>
      <c r="D50">
        <f>'AMZN DATA'!C49</f>
        <v>-0.13914064174743387</v>
      </c>
      <c r="E50">
        <f>'NVDA DATA'!C49</f>
        <v>-0.1464378984777934</v>
      </c>
      <c r="F50">
        <f>'GOOGL DATA'!C49</f>
        <v>-0.13507440699847154</v>
      </c>
      <c r="H50">
        <v>1</v>
      </c>
      <c r="I50" s="8" cm="1">
        <f t="array" ref="I50:I54">MMULT(MINVERSE(I30:M34),H50:H54)/MMULT(MMULT(TRANSPOSE(H50:H54),MINVERSE(I30:M34)),H50:H54)</f>
        <v>5.6047045419332177E-2</v>
      </c>
      <c r="L50" t="s">
        <v>116</v>
      </c>
      <c r="M50" s="63">
        <v>5.6047045419332177E-2</v>
      </c>
    </row>
    <row r="51" spans="1:13">
      <c r="A51" s="13">
        <v>44927</v>
      </c>
      <c r="B51">
        <f>'AAPL DATA'!C50</f>
        <v>0.10482933769552893</v>
      </c>
      <c r="C51">
        <f>'MSFT DATA'!C50</f>
        <v>3.2773527575491325E-2</v>
      </c>
      <c r="D51">
        <f>'AMZN DATA'!C50</f>
        <v>0.20517350039516502</v>
      </c>
      <c r="E51">
        <f>'NVDA DATA'!C50</f>
        <v>0.29033010890103389</v>
      </c>
      <c r="F51">
        <f>'GOOGL DATA'!C50</f>
        <v>0.11355526541491012</v>
      </c>
      <c r="H51">
        <v>1</v>
      </c>
      <c r="I51" s="8">
        <v>0.89204497722759313</v>
      </c>
      <c r="L51" t="s">
        <v>117</v>
      </c>
      <c r="M51" s="63">
        <v>0.89204497722759313</v>
      </c>
    </row>
    <row r="52" spans="1:13">
      <c r="A52" s="13">
        <v>44958</v>
      </c>
      <c r="B52">
        <f>'AAPL DATA'!C51</f>
        <v>2.1392681210156108E-2</v>
      </c>
      <c r="C52">
        <f>'MSFT DATA'!C51</f>
        <v>6.4759206181169747E-3</v>
      </c>
      <c r="D52">
        <f>'AMZN DATA'!C51</f>
        <v>-9.0251665182819671E-2</v>
      </c>
      <c r="E52">
        <f>'NVDA DATA'!C51</f>
        <v>0.17253172995237212</v>
      </c>
      <c r="F52">
        <f>'GOOGL DATA'!C51</f>
        <v>-9.3026247984954999E-2</v>
      </c>
      <c r="H52">
        <v>1</v>
      </c>
      <c r="I52" s="8">
        <v>-8.2225483355941979E-3</v>
      </c>
      <c r="L52" t="s">
        <v>118</v>
      </c>
      <c r="M52" s="63">
        <v>-8.2225483355941979E-3</v>
      </c>
    </row>
    <row r="53" spans="1:13">
      <c r="A53" s="13">
        <v>44986</v>
      </c>
      <c r="B53">
        <f>'AAPL DATA'!C52</f>
        <v>0.11364708316581537</v>
      </c>
      <c r="C53">
        <f>'MSFT DATA'!C52</f>
        <v>0.14736490686616585</v>
      </c>
      <c r="D53">
        <f>'AMZN DATA'!C52</f>
        <v>9.1801941644362395E-2</v>
      </c>
      <c r="E53">
        <f>'NVDA DATA'!C52</f>
        <v>0.1793665067657195</v>
      </c>
      <c r="F53">
        <f>'GOOGL DATA'!C52</f>
        <v>0.14131530569896611</v>
      </c>
      <c r="H53">
        <v>1</v>
      </c>
      <c r="I53" s="8">
        <v>-0.20242907545765779</v>
      </c>
      <c r="L53" t="s">
        <v>119</v>
      </c>
      <c r="M53" s="63">
        <v>-0.20242907545765779</v>
      </c>
    </row>
    <row r="54" spans="1:13">
      <c r="A54" s="13">
        <v>45017</v>
      </c>
      <c r="B54">
        <f>'AAPL DATA'!C53</f>
        <v>2.8575127412486894E-2</v>
      </c>
      <c r="C54">
        <f>'MSFT DATA'!C53</f>
        <v>6.3692764766059173E-2</v>
      </c>
      <c r="D54">
        <f>'AMZN DATA'!C53</f>
        <v>2.0696302775259703E-2</v>
      </c>
      <c r="E54">
        <f>'NVDA DATA'!C53</f>
        <v>-8.3867570694099998E-4</v>
      </c>
      <c r="F54">
        <f>'GOOGL DATA'!C53</f>
        <v>3.4209931118941925E-2</v>
      </c>
      <c r="H54">
        <v>1</v>
      </c>
      <c r="I54" s="8">
        <v>0.26255960114632704</v>
      </c>
      <c r="L54" t="s">
        <v>120</v>
      </c>
      <c r="M54" s="63">
        <v>0.26255960114632704</v>
      </c>
    </row>
    <row r="55" spans="1:13">
      <c r="A55" s="13">
        <v>45047</v>
      </c>
      <c r="B55">
        <f>'AAPL DATA'!C54</f>
        <v>4.3646841274650842E-2</v>
      </c>
      <c r="C55">
        <f>'MSFT DATA'!C54</f>
        <v>6.6507684047608082E-2</v>
      </c>
      <c r="D55">
        <f>'AMZN DATA'!C54</f>
        <v>0.13407657117247682</v>
      </c>
      <c r="E55">
        <f>'NVDA DATA'!C54</f>
        <v>0.31000835924723302</v>
      </c>
      <c r="F55">
        <f>'GOOGL DATA'!C54</f>
        <v>0.13512558081161311</v>
      </c>
    </row>
    <row r="56" spans="1:13" ht="13.8">
      <c r="A56" s="13">
        <v>45078</v>
      </c>
      <c r="B56">
        <f>'AAPL DATA'!C55</f>
        <v>9.1524573038652746E-2</v>
      </c>
      <c r="C56">
        <f>'MSFT DATA'!C55</f>
        <v>3.8514295299906652E-2</v>
      </c>
      <c r="D56">
        <f>'AMZN DATA'!C55</f>
        <v>7.7986411992667704E-2</v>
      </c>
      <c r="E56">
        <f>'NVDA DATA'!C55</f>
        <v>0.11162623783513462</v>
      </c>
      <c r="F56">
        <f>'GOOGL DATA'!C55</f>
        <v>-2.6138322794258623E-2</v>
      </c>
      <c r="H56" s="28" t="s">
        <v>106</v>
      </c>
      <c r="I56" s="3">
        <f>SUMPRODUCT(_xlfn.ANCHORARRAY(I50),O30:O34)</f>
        <v>1.6268245942239738E-2</v>
      </c>
    </row>
    <row r="57" spans="1:13" ht="13.8">
      <c r="A57" s="13">
        <v>45108</v>
      </c>
      <c r="B57">
        <f>'AAPL DATA'!C56</f>
        <v>1.2704473989481558E-2</v>
      </c>
      <c r="C57">
        <f>'MSFT DATA'!C56</f>
        <v>-1.365952719185828E-2</v>
      </c>
      <c r="D57">
        <f>'AMZN DATA'!C56</f>
        <v>2.5148970282857275E-2</v>
      </c>
      <c r="E57">
        <f>'NVDA DATA'!C56</f>
        <v>9.9634108740026442E-2</v>
      </c>
      <c r="F57">
        <f>'GOOGL DATA'!C56</f>
        <v>0.10325306591557804</v>
      </c>
      <c r="H57" s="28" t="s">
        <v>107</v>
      </c>
      <c r="I57" cm="1">
        <f t="array" ref="I57">MMULT(MMULT(TRANSPOSE(_xlfn.ANCHORARRAY(I50)),I30:M34),_xlfn.ANCHORARRAY(I50))</f>
        <v>3.3748464669763416E-3</v>
      </c>
    </row>
    <row r="58" spans="1:13" ht="13.8">
      <c r="A58" s="13">
        <v>45139</v>
      </c>
      <c r="B58">
        <f>'AAPL DATA'!C57</f>
        <v>-4.4657813501751374E-2</v>
      </c>
      <c r="C58">
        <f>'MSFT DATA'!C57</f>
        <v>-2.4591355147968279E-2</v>
      </c>
      <c r="D58">
        <f>'AMZN DATA'!C57</f>
        <v>3.1877278147406395E-2</v>
      </c>
      <c r="E58">
        <f>'NVDA DATA'!C57</f>
        <v>5.4674046902761356E-2</v>
      </c>
      <c r="F58">
        <f>'GOOGL DATA'!C57</f>
        <v>2.5662437032112372E-2</v>
      </c>
      <c r="H58" s="28" t="s">
        <v>140</v>
      </c>
      <c r="I58">
        <f>SQRT(I57)</f>
        <v>5.8093428776207913E-2</v>
      </c>
    </row>
    <row r="59" spans="1:13">
      <c r="A59" s="13">
        <v>45170</v>
      </c>
      <c r="B59">
        <f>'AAPL DATA'!C58</f>
        <v>-9.1509784196414479E-2</v>
      </c>
      <c r="C59">
        <f>'MSFT DATA'!C58</f>
        <v>-3.5215935346994E-2</v>
      </c>
      <c r="D59">
        <f>'AMZN DATA'!C58</f>
        <v>-8.2194564242480769E-2</v>
      </c>
      <c r="E59">
        <f>'NVDA DATA'!C58</f>
        <v>-0.12630110907365802</v>
      </c>
      <c r="F59">
        <f>'GOOGL DATA'!C58</f>
        <v>-3.9776033365613514E-2</v>
      </c>
    </row>
    <row r="60" spans="1:13">
      <c r="A60" s="13">
        <v>45200</v>
      </c>
      <c r="B60">
        <f>'AAPL DATA'!C59</f>
        <v>-2.5732566115840958E-3</v>
      </c>
      <c r="C60">
        <f>'MSFT DATA'!C59</f>
        <v>6.8420488228499443E-2</v>
      </c>
      <c r="D60">
        <f>'AMZN DATA'!C59</f>
        <v>4.5894015215405808E-2</v>
      </c>
      <c r="E60">
        <f>'NVDA DATA'!C59</f>
        <v>-6.4463839759675595E-2</v>
      </c>
      <c r="F60">
        <f>'GOOGL DATA'!C59</f>
        <v>-5.3201522096430906E-2</v>
      </c>
    </row>
    <row r="61" spans="1:13">
      <c r="A61" s="13">
        <v>45231</v>
      </c>
      <c r="B61">
        <f>'AAPL DATA'!C60</f>
        <v>0.10644319976766417</v>
      </c>
      <c r="C61">
        <f>'MSFT DATA'!C60</f>
        <v>0.11392747536022954</v>
      </c>
      <c r="D61">
        <f>'AMZN DATA'!C60</f>
        <v>9.3197281720426225E-2</v>
      </c>
      <c r="E61">
        <f>'NVDA DATA'!C60</f>
        <v>0.13705030023040846</v>
      </c>
      <c r="F61">
        <f>'GOOGL DATA'!C60</f>
        <v>6.5882492360209655E-2</v>
      </c>
    </row>
    <row r="62" spans="1:13">
      <c r="A62" s="13">
        <v>45261</v>
      </c>
      <c r="B62">
        <f>'AAPL DATA'!C61</f>
        <v>1.3716425985484308E-2</v>
      </c>
      <c r="C62">
        <f>'MSFT DATA'!C61</f>
        <v>-2.5016694518028192E-2</v>
      </c>
      <c r="D62">
        <f>'AMZN DATA'!C61</f>
        <v>-1.0804908806771287E-2</v>
      </c>
      <c r="E62">
        <f>'NVDA DATA'!C61</f>
        <v>-2.7463776008919936E-2</v>
      </c>
      <c r="F62">
        <f>'GOOGL DATA'!C61</f>
        <v>-1.9120711806306024E-2</v>
      </c>
    </row>
    <row r="64" spans="1:13" ht="13.8">
      <c r="H64" s="28" t="s">
        <v>141</v>
      </c>
      <c r="I64" s="28" t="s">
        <v>142</v>
      </c>
      <c r="J64" s="28" t="s">
        <v>143</v>
      </c>
    </row>
    <row r="65" spans="8:10" ht="13.8">
      <c r="H65" s="29">
        <v>2</v>
      </c>
      <c r="I65" s="59">
        <f>SQRT(H65^2*$I$46^2+(1-H65)^2*$J$46^2+2*H65*(1-H65)*$I$47)</f>
        <v>0.22669482901856564</v>
      </c>
      <c r="J65" s="31">
        <f>H65*$I$45+(1-H65)*$J$45</f>
        <v>0.10245567630510041</v>
      </c>
    </row>
    <row r="66" spans="8:10" ht="13.8">
      <c r="H66" s="29">
        <v>1.75</v>
      </c>
      <c r="I66" s="59">
        <f t="shared" ref="I66:I68" si="3">SQRT(H66^2*$I$46^2+(1-H66)^2*$J$46^2+2*H66*(1-H66)*$I$47)</f>
        <v>0.19366112470245209</v>
      </c>
      <c r="J66" s="31">
        <f t="shared" ref="J66:J68" si="4">H66*$I$45+(1-H66)*$J$45</f>
        <v>8.8932208822195616E-2</v>
      </c>
    </row>
    <row r="67" spans="8:10" ht="13.8">
      <c r="H67" s="29">
        <v>1.5</v>
      </c>
      <c r="I67" s="59">
        <f t="shared" si="3"/>
        <v>0.16119246599394094</v>
      </c>
      <c r="J67" s="31">
        <f t="shared" si="4"/>
        <v>7.5408741339290805E-2</v>
      </c>
    </row>
    <row r="68" spans="8:10" ht="13.8">
      <c r="H68" s="29">
        <v>1.3</v>
      </c>
      <c r="I68" s="59">
        <f t="shared" si="3"/>
        <v>0.13589704478945314</v>
      </c>
      <c r="J68" s="31">
        <f t="shared" si="4"/>
        <v>6.4589967352966973E-2</v>
      </c>
    </row>
    <row r="69" spans="8:10" ht="13.8">
      <c r="H69" s="29">
        <v>1.1000000000000001</v>
      </c>
      <c r="I69" s="59">
        <f t="shared" ref="I69:I82" si="5">SQRT(H69^2*$I$46^2+(1-H69)^2*$J$46^2+2*H69*(1-H69)*$I$47)</f>
        <v>0.11165191772181442</v>
      </c>
      <c r="J69" s="31">
        <f t="shared" ref="J69:J82" si="6">H69*$I$45+(1-H69)*$J$45</f>
        <v>5.3771193366643141E-2</v>
      </c>
    </row>
    <row r="70" spans="8:10" ht="13.8">
      <c r="H70" s="29">
        <v>0.9</v>
      </c>
      <c r="I70" s="59">
        <f t="shared" si="5"/>
        <v>8.9316532280224348E-2</v>
      </c>
      <c r="J70" s="31">
        <f t="shared" si="6"/>
        <v>4.2952419380319302E-2</v>
      </c>
    </row>
    <row r="71" spans="8:10" ht="13.8">
      <c r="H71" s="29">
        <v>0.7</v>
      </c>
      <c r="I71" s="59">
        <f t="shared" si="5"/>
        <v>7.0723994551518801E-2</v>
      </c>
      <c r="J71" s="31">
        <f t="shared" si="6"/>
        <v>3.2133645393995457E-2</v>
      </c>
    </row>
    <row r="72" spans="8:10" ht="13.8">
      <c r="H72" s="29">
        <v>0.5</v>
      </c>
      <c r="I72" s="59">
        <f>SQRT(H72^2*$I$46^2+(1-H72)^2*$J$46^2+2*H72*(1-H72)*$I$47)</f>
        <v>5.9493462928590125E-2</v>
      </c>
      <c r="J72" s="31">
        <f t="shared" ref="J72:J73" si="7">H72*$I$45+(1-H72)*$J$45</f>
        <v>2.1314871407671625E-2</v>
      </c>
    </row>
    <row r="73" spans="8:10" ht="13.8">
      <c r="H73" s="29">
        <v>0.45</v>
      </c>
      <c r="I73" s="59">
        <f t="shared" ref="I73" si="8">SQRT(H73^2*$I$46^2+(1-H73)^2*$J$46^2+2*H73*(1-H73)*$I$47)</f>
        <v>5.8397763041115783E-2</v>
      </c>
      <c r="J73" s="31">
        <f t="shared" si="7"/>
        <v>1.8610177911090667E-2</v>
      </c>
    </row>
    <row r="74" spans="8:10" ht="13.8">
      <c r="H74" s="33" t="s">
        <v>139</v>
      </c>
      <c r="I74" s="60">
        <f>I58</f>
        <v>5.8093428776207913E-2</v>
      </c>
      <c r="J74" s="34">
        <f>I56</f>
        <v>1.6268245942239738E-2</v>
      </c>
    </row>
    <row r="75" spans="8:10" ht="13.8">
      <c r="H75" s="29">
        <v>0.35</v>
      </c>
      <c r="I75" s="59">
        <f t="shared" ref="I75" si="9">SQRT(H75^2*$I$46^2+(1-H75)^2*$J$46^2+2*H75*(1-H75)*$I$47)</f>
        <v>5.861456491981426E-2</v>
      </c>
      <c r="J75" s="31">
        <f t="shared" ref="J75" si="10">H75*$I$45+(1-H75)*$J$45</f>
        <v>1.3200790917928744E-2</v>
      </c>
    </row>
    <row r="76" spans="8:10" ht="13.8">
      <c r="H76" s="29">
        <v>0.3</v>
      </c>
      <c r="I76" s="59">
        <f t="shared" ref="I76" si="11">SQRT(H76^2*$I$46^2+(1-H76)^2*$J$46^2+2*H76*(1-H76)*$I$47)</f>
        <v>5.9918353751593968E-2</v>
      </c>
      <c r="J76" s="31">
        <f t="shared" ref="J76" si="12">H76*$I$45+(1-H76)*$J$45</f>
        <v>1.0496097421347786E-2</v>
      </c>
    </row>
    <row r="77" spans="8:10" ht="13.8">
      <c r="H77" s="29">
        <v>0.1</v>
      </c>
      <c r="I77" s="59">
        <f t="shared" si="5"/>
        <v>7.1792021565910386E-2</v>
      </c>
      <c r="J77" s="31">
        <f t="shared" si="6"/>
        <v>-3.2267656497605036E-4</v>
      </c>
    </row>
    <row r="78" spans="8:10" ht="13.8">
      <c r="H78" s="29">
        <v>-0.1</v>
      </c>
      <c r="I78" s="59">
        <f t="shared" si="5"/>
        <v>9.0725563453155203E-2</v>
      </c>
      <c r="J78" s="31">
        <f t="shared" si="6"/>
        <v>-1.1141450551299888E-2</v>
      </c>
    </row>
    <row r="79" spans="8:10" ht="13.8">
      <c r="H79" s="29">
        <v>-0.3</v>
      </c>
      <c r="I79" s="59">
        <f t="shared" si="5"/>
        <v>0.11323122195939687</v>
      </c>
      <c r="J79" s="31">
        <f t="shared" si="6"/>
        <v>-2.1960224537623724E-2</v>
      </c>
    </row>
    <row r="80" spans="8:10" ht="13.8">
      <c r="H80" s="29">
        <v>-0.5</v>
      </c>
      <c r="I80" s="59">
        <f t="shared" si="5"/>
        <v>0.13756685519447359</v>
      </c>
      <c r="J80" s="31">
        <f t="shared" si="6"/>
        <v>-3.2778998523947563E-2</v>
      </c>
    </row>
    <row r="81" spans="8:12" ht="13.8">
      <c r="H81" s="29">
        <v>-0.7</v>
      </c>
      <c r="I81" s="59">
        <f t="shared" si="5"/>
        <v>0.16291444972417179</v>
      </c>
      <c r="J81" s="31">
        <f t="shared" si="6"/>
        <v>-4.3597772510271394E-2</v>
      </c>
    </row>
    <row r="82" spans="8:12" ht="13.8">
      <c r="H82" s="29">
        <v>-0.9</v>
      </c>
      <c r="I82" s="59">
        <f t="shared" si="5"/>
        <v>0.18886700206472143</v>
      </c>
      <c r="J82" s="31">
        <f t="shared" si="6"/>
        <v>-5.441654649659524E-2</v>
      </c>
    </row>
    <row r="83" spans="8:12" ht="13.8">
      <c r="H83" s="18"/>
      <c r="I83" t="s">
        <v>144</v>
      </c>
      <c r="J83" s="3" t="s">
        <v>140</v>
      </c>
    </row>
    <row r="84" spans="8:12" ht="13.8">
      <c r="H84" s="28" t="s">
        <v>145</v>
      </c>
      <c r="I84" s="35">
        <f>J65</f>
        <v>0.10245567630510041</v>
      </c>
      <c r="J84" s="3">
        <f>I65</f>
        <v>0.22669482901856564</v>
      </c>
    </row>
    <row r="85" spans="8:12" ht="13.8">
      <c r="H85" s="28" t="s">
        <v>146</v>
      </c>
      <c r="I85" s="35">
        <f>J68</f>
        <v>6.4589967352966973E-2</v>
      </c>
      <c r="J85" s="3">
        <f>I68</f>
        <v>0.13589704478945314</v>
      </c>
      <c r="K85" t="s">
        <v>147</v>
      </c>
      <c r="L85" s="3">
        <f>J85/J84</f>
        <v>0.59947130412191085</v>
      </c>
    </row>
    <row r="86" spans="8:12" ht="13.8">
      <c r="H86" s="28"/>
      <c r="J86" s="3"/>
    </row>
    <row r="87" spans="8:12" ht="13.8">
      <c r="H87" s="28" t="s">
        <v>148</v>
      </c>
      <c r="J87" s="3"/>
    </row>
    <row r="88" spans="8:12" ht="13.8">
      <c r="H88" s="32"/>
      <c r="I88" s="32" t="s">
        <v>145</v>
      </c>
      <c r="J88" s="32" t="s">
        <v>146</v>
      </c>
    </row>
    <row r="89" spans="8:12" ht="13.8">
      <c r="H89" s="32" t="s">
        <v>145</v>
      </c>
      <c r="I89">
        <f>J84^2</f>
        <v>5.1390545503756706E-2</v>
      </c>
      <c r="J89">
        <f>J84*J85*L85</f>
        <v>1.8468006782506634E-2</v>
      </c>
    </row>
    <row r="90" spans="8:12" ht="13.8">
      <c r="H90" s="32" t="s">
        <v>146</v>
      </c>
      <c r="I90">
        <f>J89</f>
        <v>1.8468006782506634E-2</v>
      </c>
      <c r="J90">
        <f>J85^2</f>
        <v>1.8468006782506631E-2</v>
      </c>
    </row>
    <row r="91" spans="8:12" ht="13.8">
      <c r="H91" s="28"/>
      <c r="I91" s="3"/>
    </row>
    <row r="92" spans="8:12" ht="13.8">
      <c r="H92" s="28" t="s">
        <v>149</v>
      </c>
      <c r="I92" s="3">
        <v>4.1399999999999999E-2</v>
      </c>
    </row>
    <row r="93" spans="8:12" ht="13.8">
      <c r="H93" s="28"/>
    </row>
    <row r="94" spans="8:12" ht="13.8">
      <c r="H94" s="28"/>
      <c r="I94" t="s">
        <v>150</v>
      </c>
      <c r="J94" t="s">
        <v>151</v>
      </c>
    </row>
    <row r="95" spans="8:12" ht="13.8">
      <c r="H95" s="32" t="s">
        <v>145</v>
      </c>
      <c r="I95" cm="1">
        <f t="array" ref="I95:I96">MMULT(MINVERSE(I89:J90),I84:I85-I92)</f>
        <v>1.1501454754973912</v>
      </c>
      <c r="J95">
        <f>I95/SUM(_xlfn.ANCHORARRAY(I95))</f>
        <v>0.9159518907057681</v>
      </c>
    </row>
    <row r="96" spans="8:12" ht="13.8">
      <c r="H96" s="32" t="s">
        <v>146</v>
      </c>
      <c r="I96">
        <v>0.10553780565307402</v>
      </c>
      <c r="J96">
        <f>I96/SUM(_xlfn.ANCHORARRAY(I95))</f>
        <v>8.4048109294231899E-2</v>
      </c>
    </row>
    <row r="97" spans="7:11" ht="13.8">
      <c r="H97" s="28"/>
    </row>
    <row r="98" spans="7:11" ht="13.8">
      <c r="H98" s="28" t="s">
        <v>152</v>
      </c>
      <c r="I98" s="35">
        <f>K98*I84+(1-K98)*I85</f>
        <v>9.9273135060587936E-2</v>
      </c>
      <c r="J98" s="35">
        <f>SQRT(K98^2*J84^2+(1-K98)^2*J85^2+2*K98*(1-K98)*J84*J85*L85)</f>
        <v>0.21468339209090198</v>
      </c>
      <c r="K98">
        <f>J95</f>
        <v>0.9159518907057681</v>
      </c>
    </row>
    <row r="99" spans="7:11" ht="13.8">
      <c r="H99" s="28"/>
    </row>
    <row r="100" spans="7:11" ht="13.8">
      <c r="H100" s="32" t="s">
        <v>153</v>
      </c>
    </row>
    <row r="101" spans="7:11" ht="13.8">
      <c r="H101" s="28" t="s">
        <v>154</v>
      </c>
      <c r="I101" s="28" t="s">
        <v>140</v>
      </c>
      <c r="J101" s="28" t="s">
        <v>155</v>
      </c>
    </row>
    <row r="102" spans="7:11" ht="13.8">
      <c r="H102" s="29">
        <v>0</v>
      </c>
      <c r="I102" s="61">
        <f>J98*H102</f>
        <v>0</v>
      </c>
      <c r="J102" s="35">
        <f>H102*I98+(1-H102)*I92</f>
        <v>4.1399999999999999E-2</v>
      </c>
    </row>
    <row r="103" spans="7:11" ht="13.8">
      <c r="H103" s="29">
        <v>1.1000000000000001</v>
      </c>
      <c r="I103" s="61">
        <f>H103*J98</f>
        <v>0.2361517312999922</v>
      </c>
      <c r="J103" s="35">
        <f>H103*I98+(1-H103)*I92</f>
        <v>0.10506044856664673</v>
      </c>
    </row>
    <row r="106" spans="7:11">
      <c r="G106" t="s">
        <v>129</v>
      </c>
      <c r="H106" s="2">
        <v>0.04</v>
      </c>
      <c r="I106" s="2">
        <v>0.06</v>
      </c>
    </row>
    <row r="107" spans="7:11" ht="13.8">
      <c r="H107" s="22" t="s">
        <v>131</v>
      </c>
      <c r="I107" s="22" t="s">
        <v>132</v>
      </c>
    </row>
    <row r="108" spans="7:11" ht="13.8">
      <c r="G108" s="18" t="s">
        <v>116</v>
      </c>
      <c r="H108" s="2">
        <v>0</v>
      </c>
      <c r="I108" s="2">
        <v>0</v>
      </c>
    </row>
    <row r="109" spans="7:11" ht="13.8">
      <c r="G109" s="18" t="s">
        <v>117</v>
      </c>
      <c r="H109" s="2">
        <v>0</v>
      </c>
      <c r="I109" s="2">
        <v>0</v>
      </c>
    </row>
    <row r="110" spans="7:11" ht="13.8">
      <c r="G110" s="18" t="s">
        <v>118</v>
      </c>
      <c r="H110" s="2">
        <v>0</v>
      </c>
      <c r="I110" s="2">
        <v>0</v>
      </c>
    </row>
    <row r="111" spans="7:11" ht="13.8">
      <c r="G111" s="18" t="s">
        <v>119</v>
      </c>
      <c r="H111" s="25">
        <v>1</v>
      </c>
      <c r="I111" s="25">
        <v>1</v>
      </c>
    </row>
    <row r="112" spans="7:11" ht="13.8">
      <c r="G112" s="18" t="s">
        <v>120</v>
      </c>
      <c r="H112" s="2">
        <v>0</v>
      </c>
      <c r="I112" s="27">
        <v>0</v>
      </c>
    </row>
    <row r="113" spans="7:9" ht="13.8">
      <c r="G113" s="18" t="s">
        <v>133</v>
      </c>
      <c r="H113" s="24">
        <f>SUM(H108,H109,H110,H111,H112)</f>
        <v>1</v>
      </c>
      <c r="I113" s="24">
        <f>SUM(I108,I109,I110,I111,I112)</f>
        <v>1</v>
      </c>
    </row>
    <row r="115" spans="7:9">
      <c r="G115" t="s">
        <v>134</v>
      </c>
      <c r="H115" s="26" cm="1">
        <f t="array" ref="H115">MMULT(TRANSPOSE(H108:H112),$O$30:$O$34)</f>
        <v>4.3157488088748752E-2</v>
      </c>
      <c r="I115" s="26" cm="1">
        <f t="array" ref="I115">MMULT(TRANSPOSE(I108:I112),$O$30:$O$34)</f>
        <v>4.3157488088748752E-2</v>
      </c>
    </row>
    <row r="116" spans="7:9">
      <c r="G116" t="s">
        <v>135</v>
      </c>
      <c r="H116" cm="1">
        <f t="array" ref="H116">SQRT(MMULT(MMULT(TRANSPOSE(H108:H112),$I$30:$M$34),H108:H112))</f>
        <v>0.14243328591794729</v>
      </c>
      <c r="I116" cm="1">
        <f t="array" ref="I116">SQRT(MMULT(MMULT(TRANSPOSE(I108:I112),$I$30:$M$34),I108:I112))</f>
        <v>0.14243328591794729</v>
      </c>
    </row>
    <row r="117" spans="7:9">
      <c r="G117" s="7" t="s">
        <v>156</v>
      </c>
      <c r="H117">
        <f>(H115-H106)/H116</f>
        <v>2.2168189608205144E-2</v>
      </c>
      <c r="I117">
        <f>(I115-I106)/I116</f>
        <v>-0.11824842629098545</v>
      </c>
    </row>
  </sheetData>
  <mergeCells count="1">
    <mergeCell ref="B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Part 1</vt:lpstr>
      <vt:lpstr>Sheet1</vt:lpstr>
      <vt:lpstr>AAPL DATA</vt:lpstr>
      <vt:lpstr>MSFT DATA</vt:lpstr>
      <vt:lpstr>AMZN DATA</vt:lpstr>
      <vt:lpstr>NVDA DATA</vt:lpstr>
      <vt:lpstr>GOOGL DATA</vt:lpstr>
      <vt:lpstr>MSFT Valuation</vt:lpstr>
      <vt:lpstr>AAPL Valuation</vt:lpstr>
      <vt:lpstr>Part 2a Portfolio</vt:lpstr>
      <vt:lpstr>Part 2b</vt:lpstr>
    </vt:vector>
  </TitlesOfParts>
  <Manager/>
  <Company>Hebrew University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Benninga</dc:creator>
  <cp:keywords/>
  <dc:description/>
  <cp:lastModifiedBy>Krishna Patel</cp:lastModifiedBy>
  <cp:revision/>
  <dcterms:created xsi:type="dcterms:W3CDTF">1996-05-18T15:25:42Z</dcterms:created>
  <dcterms:modified xsi:type="dcterms:W3CDTF">2024-03-12T20:39:29Z</dcterms:modified>
  <cp:category/>
  <cp:contentStatus/>
</cp:coreProperties>
</file>